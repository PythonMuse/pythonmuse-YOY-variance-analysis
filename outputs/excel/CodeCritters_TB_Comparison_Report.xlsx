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B_2025" sheetId="2" state="visible" r:id="rId2"/>
    <sheet xmlns:r="http://schemas.openxmlformats.org/officeDocument/2006/relationships" name="TB_2026" sheetId="3" state="visible" r:id="rId3"/>
    <sheet xmlns:r="http://schemas.openxmlformats.org/officeDocument/2006/relationships" name="YoY_Variance" sheetId="4" state="visible" r:id="rId4"/>
    <sheet xmlns:r="http://schemas.openxmlformats.org/officeDocument/2006/relationships" name="MoM_Variance" sheetId="5" state="visible" r:id="rId5"/>
    <sheet xmlns:r="http://schemas.openxmlformats.org/officeDocument/2006/relationships" name="Flagged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002030"/>
      <sz val="14"/>
    </font>
    <font>
      <b val="1"/>
      <color rgb="00FFFFFF"/>
    </font>
    <font>
      <b val="1"/>
      <color rgb="00002030"/>
      <sz val="16"/>
    </font>
    <font>
      <i val="1"/>
      <sz val="10"/>
    </font>
    <font>
      <b val="1"/>
      <color rgb="000A3040"/>
      <sz val="12"/>
    </font>
  </fonts>
  <fills count="5">
    <fill>
      <patternFill/>
    </fill>
    <fill>
      <patternFill patternType="gray125"/>
    </fill>
    <fill>
      <patternFill patternType="solid">
        <fgColor rgb="000A3040"/>
      </patternFill>
    </fill>
    <fill>
      <patternFill patternType="solid">
        <fgColor rgb="00F8D038"/>
      </patternFill>
    </fill>
    <fill>
      <patternFill patternType="solid">
        <fgColor rgb="00F8E0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9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0" customWidth="1" min="4" max="4"/>
    <col width="14" customWidth="1" min="5" max="5"/>
    <col width="12" customWidth="1" min="6" max="6"/>
  </cols>
  <sheetData>
    <row r="1">
      <c r="A1" s="1" t="inlineStr">
        <is>
          <t>CodeCritters Inc. - Trial Balance Comparison Dashboard</t>
        </is>
      </c>
    </row>
    <row r="2">
      <c r="A2" s="2" t="inlineStr">
        <is>
          <t>PythonMuse LLC | Training &amp; Demo Template</t>
        </is>
      </c>
    </row>
    <row r="4">
      <c r="A4" s="3" t="inlineStr">
        <is>
          <t>Materiality Thresholds</t>
        </is>
      </c>
    </row>
    <row r="5">
      <c r="A5" s="4" t="inlineStr">
        <is>
          <t>Comparison</t>
        </is>
      </c>
      <c r="B5" s="4" t="inlineStr">
        <is>
          <t>$ Threshold</t>
        </is>
      </c>
      <c r="C5" s="4" t="inlineStr">
        <is>
          <t>% Threshold</t>
        </is>
      </c>
    </row>
    <row r="6">
      <c r="A6" t="inlineStr">
        <is>
          <t>Year-over-Year</t>
        </is>
      </c>
      <c r="B6" t="n">
        <v>2500</v>
      </c>
      <c r="C6" s="5" t="n">
        <v>0.15</v>
      </c>
    </row>
    <row r="7">
      <c r="A7" t="inlineStr">
        <is>
          <t>Month-over-Month</t>
        </is>
      </c>
      <c r="B7" t="n">
        <v>2500</v>
      </c>
      <c r="C7" s="5" t="n">
        <v>0.2</v>
      </c>
    </row>
    <row r="9">
      <c r="A9" s="3" t="inlineStr">
        <is>
          <t>Flag Counts</t>
        </is>
      </c>
    </row>
    <row r="10">
      <c r="A10" t="inlineStr">
        <is>
          <t>YoY flags</t>
        </is>
      </c>
      <c r="B10">
        <f>COUNTIF(YoY_Variance!I3:I10000,"FLAG")</f>
        <v/>
      </c>
    </row>
    <row r="11">
      <c r="A11" t="inlineStr">
        <is>
          <t>MoM flags</t>
        </is>
      </c>
      <c r="B11">
        <f>COUNTIF(MoM_Variance!J3:J10000,"FLAG")</f>
        <v/>
      </c>
    </row>
    <row r="13">
      <c r="A13" s="3" t="inlineStr">
        <is>
          <t>Reconciliation Check (Assets = Liabilities + Equity, net of contras)</t>
        </is>
      </c>
    </row>
    <row r="14">
      <c r="A14" s="4" t="inlineStr">
        <is>
          <t>Year</t>
        </is>
      </c>
      <c r="B14" s="4" t="inlineStr">
        <is>
          <t>Month</t>
        </is>
      </c>
      <c r="C14" s="4" t="inlineStr">
        <is>
          <t>Assets (net)</t>
        </is>
      </c>
      <c r="D14" s="4" t="inlineStr">
        <is>
          <t>Liabilities + Equity (net)</t>
        </is>
      </c>
      <c r="E14" s="4" t="inlineStr">
        <is>
          <t>Diff</t>
        </is>
      </c>
      <c r="F14" s="4" t="inlineStr">
        <is>
          <t>Status</t>
        </is>
      </c>
    </row>
    <row r="15">
      <c r="A15" t="inlineStr">
        <is>
          <t>2025</t>
        </is>
      </c>
      <c r="B15" t="inlineStr">
        <is>
          <t>Jan</t>
        </is>
      </c>
      <c r="C15">
        <f>SUMIF('TB_2025'!$C$3:$C$34,"Asset",'TB_2025'!$D$3:$D$34)-SUMIF('TB_2025'!$B$3:$B$34,"Accumulated Depreciation",'TB_2025'!$D$3:$D$34)*2</f>
        <v/>
      </c>
      <c r="D15">
        <f>SUMIF('TB_2025'!$C$3:$C$34,"Liability",'TB_2025'!$D$3:$D$34)+SUMIF('TB_2025'!$C$3:$C$34,"Equity",'TB_2025'!$D$3:$D$34)-SUMIF('TB_2025'!$B$3:$B$34,"Owner Draws",'TB_2025'!$D$3:$D$34)*2</f>
        <v/>
      </c>
      <c r="E15">
        <f>C15-D15</f>
        <v/>
      </c>
      <c r="F15">
        <f>IF(ROUND(E15,2)=0,"OK","MISMATCH")</f>
        <v/>
      </c>
    </row>
    <row r="16">
      <c r="A16" t="inlineStr">
        <is>
          <t>2025</t>
        </is>
      </c>
      <c r="B16" t="inlineStr">
        <is>
          <t>Feb</t>
        </is>
      </c>
      <c r="C16">
        <f>SUMIF('TB_2025'!$C$3:$C$34,"Asset",'TB_2025'!$E$3:$E$34)-SUMIF('TB_2025'!$B$3:$B$34,"Accumulated Depreciation",'TB_2025'!$E$3:$E$34)*2</f>
        <v/>
      </c>
      <c r="D16">
        <f>SUMIF('TB_2025'!$C$3:$C$34,"Liability",'TB_2025'!$E$3:$E$34)+SUMIF('TB_2025'!$C$3:$C$34,"Equity",'TB_2025'!$E$3:$E$34)-SUMIF('TB_2025'!$B$3:$B$34,"Owner Draws",'TB_2025'!$E$3:$E$34)*2</f>
        <v/>
      </c>
      <c r="E16">
        <f>C16-D16</f>
        <v/>
      </c>
      <c r="F16">
        <f>IF(ROUND(E16,2)=0,"OK","MISMATCH")</f>
        <v/>
      </c>
    </row>
    <row r="17">
      <c r="A17" t="inlineStr">
        <is>
          <t>2025</t>
        </is>
      </c>
      <c r="B17" t="inlineStr">
        <is>
          <t>Mar</t>
        </is>
      </c>
      <c r="C17">
        <f>SUMIF('TB_2025'!$C$3:$C$34,"Asset",'TB_2025'!$F$3:$F$34)-SUMIF('TB_2025'!$B$3:$B$34,"Accumulated Depreciation",'TB_2025'!$F$3:$F$34)*2</f>
        <v/>
      </c>
      <c r="D17">
        <f>SUMIF('TB_2025'!$C$3:$C$34,"Liability",'TB_2025'!$F$3:$F$34)+SUMIF('TB_2025'!$C$3:$C$34,"Equity",'TB_2025'!$F$3:$F$34)-SUMIF('TB_2025'!$B$3:$B$34,"Owner Draws",'TB_2025'!$F$3:$F$34)*2</f>
        <v/>
      </c>
      <c r="E17">
        <f>C17-D17</f>
        <v/>
      </c>
      <c r="F17">
        <f>IF(ROUND(E17,2)=0,"OK","MISMATCH")</f>
        <v/>
      </c>
    </row>
    <row r="18">
      <c r="A18" t="inlineStr">
        <is>
          <t>2025</t>
        </is>
      </c>
      <c r="B18" t="inlineStr">
        <is>
          <t>Apr</t>
        </is>
      </c>
      <c r="C18">
        <f>SUMIF('TB_2025'!$C$3:$C$34,"Asset",'TB_2025'!$G$3:$G$34)-SUMIF('TB_2025'!$B$3:$B$34,"Accumulated Depreciation",'TB_2025'!$G$3:$G$34)*2</f>
        <v/>
      </c>
      <c r="D18">
        <f>SUMIF('TB_2025'!$C$3:$C$34,"Liability",'TB_2025'!$G$3:$G$34)+SUMIF('TB_2025'!$C$3:$C$34,"Equity",'TB_2025'!$G$3:$G$34)-SUMIF('TB_2025'!$B$3:$B$34,"Owner Draws",'TB_2025'!$G$3:$G$34)*2</f>
        <v/>
      </c>
      <c r="E18">
        <f>C18-D18</f>
        <v/>
      </c>
      <c r="F18">
        <f>IF(ROUND(E18,2)=0,"OK","MISMATCH")</f>
        <v/>
      </c>
    </row>
    <row r="19">
      <c r="A19" t="inlineStr">
        <is>
          <t>2026</t>
        </is>
      </c>
      <c r="B19" t="inlineStr">
        <is>
          <t>Jan</t>
        </is>
      </c>
      <c r="C19">
        <f>SUMIF('TB_2026'!$C$3:$C$34,"Asset",'TB_2026'!$D$3:$D$34)-SUMIF('TB_2026'!$B$3:$B$34,"Accumulated Depreciation",'TB_2026'!$D$3:$D$34)*2</f>
        <v/>
      </c>
      <c r="D19">
        <f>SUMIF('TB_2026'!$C$3:$C$34,"Liability",'TB_2026'!$D$3:$D$34)+SUMIF('TB_2026'!$C$3:$C$34,"Equity",'TB_2026'!$D$3:$D$34)-SUMIF('TB_2026'!$B$3:$B$34,"Owner Draws",'TB_2026'!$D$3:$D$34)*2</f>
        <v/>
      </c>
      <c r="E19">
        <f>C19-D19</f>
        <v/>
      </c>
      <c r="F19">
        <f>IF(ROUND(E19,2)=0,"OK","MISMATCH")</f>
        <v/>
      </c>
    </row>
    <row r="20">
      <c r="A20" t="inlineStr">
        <is>
          <t>2026</t>
        </is>
      </c>
      <c r="B20" t="inlineStr">
        <is>
          <t>Feb</t>
        </is>
      </c>
      <c r="C20">
        <f>SUMIF('TB_2026'!$C$3:$C$34,"Asset",'TB_2026'!$E$3:$E$34)-SUMIF('TB_2026'!$B$3:$B$34,"Accumulated Depreciation",'TB_2026'!$E$3:$E$34)*2</f>
        <v/>
      </c>
      <c r="D20">
        <f>SUMIF('TB_2026'!$C$3:$C$34,"Liability",'TB_2026'!$E$3:$E$34)+SUMIF('TB_2026'!$C$3:$C$34,"Equity",'TB_2026'!$E$3:$E$34)-SUMIF('TB_2026'!$B$3:$B$34,"Owner Draws",'TB_2026'!$E$3:$E$34)*2</f>
        <v/>
      </c>
      <c r="E20">
        <f>C20-D20</f>
        <v/>
      </c>
      <c r="F20">
        <f>IF(ROUND(E20,2)=0,"OK","MISMATCH")</f>
        <v/>
      </c>
    </row>
    <row r="21">
      <c r="A21" t="inlineStr">
        <is>
          <t>2026</t>
        </is>
      </c>
      <c r="B21" t="inlineStr">
        <is>
          <t>Mar</t>
        </is>
      </c>
      <c r="C21">
        <f>SUMIF('TB_2026'!$C$3:$C$34,"Asset",'TB_2026'!$F$3:$F$34)-SUMIF('TB_2026'!$B$3:$B$34,"Accumulated Depreciation",'TB_2026'!$F$3:$F$34)*2</f>
        <v/>
      </c>
      <c r="D21">
        <f>SUMIF('TB_2026'!$C$3:$C$34,"Liability",'TB_2026'!$F$3:$F$34)+SUMIF('TB_2026'!$C$3:$C$34,"Equity",'TB_2026'!$F$3:$F$34)-SUMIF('TB_2026'!$B$3:$B$34,"Owner Draws",'TB_2026'!$F$3:$F$34)*2</f>
        <v/>
      </c>
      <c r="E21">
        <f>C21-D21</f>
        <v/>
      </c>
      <c r="F21">
        <f>IF(ROUND(E21,2)=0,"OK","MISMATCH")</f>
        <v/>
      </c>
    </row>
    <row r="22">
      <c r="A22" t="inlineStr">
        <is>
          <t>2026</t>
        </is>
      </c>
      <c r="B22" t="inlineStr">
        <is>
          <t>Apr</t>
        </is>
      </c>
      <c r="C22">
        <f>SUMIF('TB_2026'!$C$3:$C$34,"Asset",'TB_2026'!$G$3:$G$34)-SUMIF('TB_2026'!$B$3:$B$34,"Accumulated Depreciation",'TB_2026'!$G$3:$G$34)*2</f>
        <v/>
      </c>
      <c r="D22">
        <f>SUMIF('TB_2026'!$C$3:$C$34,"Liability",'TB_2026'!$G$3:$G$34)+SUMIF('TB_2026'!$C$3:$C$34,"Equity",'TB_2026'!$G$3:$G$34)-SUMIF('TB_2026'!$B$3:$B$34,"Owner Draws",'TB_2026'!$G$3:$G$34)*2</f>
        <v/>
      </c>
      <c r="E22">
        <f>C22-D22</f>
        <v/>
      </c>
      <c r="F22">
        <f>IF(ROUND(E22,2)=0,"OK","MISMATCH")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Trial Balance - 2025 (Prior Year) (source data, do not edit)</t>
        </is>
      </c>
    </row>
    <row r="2">
      <c r="A2" s="4" t="inlineStr">
        <is>
          <t>Account Code</t>
        </is>
      </c>
      <c r="B2" s="4" t="inlineStr">
        <is>
          <t>Account</t>
        </is>
      </c>
      <c r="C2" s="4" t="inlineStr">
        <is>
          <t>Type</t>
        </is>
      </c>
      <c r="D2" s="4" t="inlineStr">
        <is>
          <t>Jan</t>
        </is>
      </c>
      <c r="E2" s="4" t="inlineStr">
        <is>
          <t>Feb</t>
        </is>
      </c>
      <c r="F2" s="4" t="inlineStr">
        <is>
          <t>Mar</t>
        </is>
      </c>
      <c r="G2" s="4" t="inlineStr">
        <is>
          <t>Apr</t>
        </is>
      </c>
    </row>
    <row r="3">
      <c r="A3" t="n">
        <v>1000</v>
      </c>
      <c r="B3" t="inlineStr">
        <is>
          <t>Checking</t>
        </is>
      </c>
      <c r="C3" t="inlineStr">
        <is>
          <t>Asset</t>
        </is>
      </c>
      <c r="D3" s="7" t="n">
        <v>7600</v>
      </c>
      <c r="E3" s="7" t="n">
        <v>11270</v>
      </c>
      <c r="F3" s="7" t="n">
        <v>18855</v>
      </c>
      <c r="G3" s="7" t="n">
        <v>27430</v>
      </c>
    </row>
    <row r="4">
      <c r="A4" t="n">
        <v>1010</v>
      </c>
      <c r="B4" t="inlineStr">
        <is>
          <t>Savings</t>
        </is>
      </c>
      <c r="C4" t="inlineStr">
        <is>
          <t>Asset</t>
        </is>
      </c>
      <c r="D4" s="7" t="n">
        <v>20000</v>
      </c>
      <c r="E4" s="7" t="n">
        <v>20000</v>
      </c>
      <c r="F4" s="7" t="n">
        <v>20000</v>
      </c>
      <c r="G4" s="7" t="n">
        <v>20000</v>
      </c>
    </row>
    <row r="5">
      <c r="A5" t="n">
        <v>1200</v>
      </c>
      <c r="B5" t="inlineStr">
        <is>
          <t>Accounts Receivable</t>
        </is>
      </c>
      <c r="C5" t="inlineStr">
        <is>
          <t>Asset</t>
        </is>
      </c>
      <c r="D5" s="7" t="n">
        <v>14000</v>
      </c>
      <c r="E5" s="7" t="n">
        <v>14500</v>
      </c>
      <c r="F5" s="7" t="n">
        <v>15000</v>
      </c>
      <c r="G5" s="7" t="n">
        <v>15200</v>
      </c>
    </row>
    <row r="6">
      <c r="A6" t="n">
        <v>1300</v>
      </c>
      <c r="B6" t="inlineStr">
        <is>
          <t>Inventory - Raw Materials</t>
        </is>
      </c>
      <c r="C6" t="inlineStr">
        <is>
          <t>Asset</t>
        </is>
      </c>
      <c r="D6" s="7" t="n">
        <v>8000</v>
      </c>
      <c r="E6" s="7" t="n">
        <v>8200</v>
      </c>
      <c r="F6" s="7" t="n">
        <v>8400</v>
      </c>
      <c r="G6" s="7" t="n">
        <v>8600</v>
      </c>
    </row>
    <row r="7">
      <c r="A7" t="n">
        <v>1310</v>
      </c>
      <c r="B7" t="inlineStr">
        <is>
          <t>Inventory - Finished Goods</t>
        </is>
      </c>
      <c r="C7" t="inlineStr">
        <is>
          <t>Asset</t>
        </is>
      </c>
      <c r="D7" s="7" t="n">
        <v>11000</v>
      </c>
      <c r="E7" s="7" t="n">
        <v>11200</v>
      </c>
      <c r="F7" s="7" t="n">
        <v>11400</v>
      </c>
      <c r="G7" s="7" t="n">
        <v>11600</v>
      </c>
    </row>
    <row r="8">
      <c r="A8" t="n">
        <v>1400</v>
      </c>
      <c r="B8" t="inlineStr">
        <is>
          <t>Prepaid Insurance</t>
        </is>
      </c>
      <c r="C8" t="inlineStr">
        <is>
          <t>Asset</t>
        </is>
      </c>
      <c r="D8" s="7" t="n">
        <v>2400</v>
      </c>
      <c r="E8" s="7" t="n">
        <v>2200</v>
      </c>
      <c r="F8" s="7" t="n">
        <v>2000</v>
      </c>
      <c r="G8" s="7" t="n">
        <v>1800</v>
      </c>
    </row>
    <row r="9">
      <c r="A9" t="n">
        <v>1500</v>
      </c>
      <c r="B9" t="inlineStr">
        <is>
          <t>Equipment</t>
        </is>
      </c>
      <c r="C9" t="inlineStr">
        <is>
          <t>Asset</t>
        </is>
      </c>
      <c r="D9" s="7" t="n">
        <v>45000</v>
      </c>
      <c r="E9" s="7" t="n">
        <v>45000</v>
      </c>
      <c r="F9" s="7" t="n">
        <v>45000</v>
      </c>
      <c r="G9" s="7" t="n">
        <v>45000</v>
      </c>
    </row>
    <row r="10">
      <c r="A10" t="n">
        <v>1510</v>
      </c>
      <c r="B10" t="inlineStr">
        <is>
          <t>Accumulated Depreciation</t>
        </is>
      </c>
      <c r="C10" t="inlineStr">
        <is>
          <t>Asset</t>
        </is>
      </c>
      <c r="D10" s="7" t="n">
        <v>9800</v>
      </c>
      <c r="E10" s="7" t="n">
        <v>10600</v>
      </c>
      <c r="F10" s="7" t="n">
        <v>11400</v>
      </c>
      <c r="G10" s="7" t="n">
        <v>12200</v>
      </c>
    </row>
    <row r="11">
      <c r="A11" t="n">
        <v>2000</v>
      </c>
      <c r="B11" t="inlineStr">
        <is>
          <t>Accounts Payable</t>
        </is>
      </c>
      <c r="C11" t="inlineStr">
        <is>
          <t>Liability</t>
        </is>
      </c>
      <c r="D11" s="7" t="n">
        <v>7000</v>
      </c>
      <c r="E11" s="7" t="n">
        <v>7200</v>
      </c>
      <c r="F11" s="7" t="n">
        <v>7400</v>
      </c>
      <c r="G11" s="7" t="n">
        <v>7600</v>
      </c>
    </row>
    <row r="12">
      <c r="A12" t="n">
        <v>2100</v>
      </c>
      <c r="B12" t="inlineStr">
        <is>
          <t>Credit Card Payable</t>
        </is>
      </c>
      <c r="C12" t="inlineStr">
        <is>
          <t>Liability</t>
        </is>
      </c>
      <c r="D12" s="7" t="n">
        <v>3200</v>
      </c>
      <c r="E12" s="7" t="n">
        <v>3300</v>
      </c>
      <c r="F12" s="7" t="n">
        <v>3100</v>
      </c>
      <c r="G12" s="7" t="n">
        <v>3400</v>
      </c>
    </row>
    <row r="13">
      <c r="A13" t="n">
        <v>2200</v>
      </c>
      <c r="B13" t="inlineStr">
        <is>
          <t>Sales Tax Payable</t>
        </is>
      </c>
      <c r="C13" t="inlineStr">
        <is>
          <t>Liability</t>
        </is>
      </c>
      <c r="D13" s="7" t="n">
        <v>1800</v>
      </c>
      <c r="E13" s="7" t="n">
        <v>1850</v>
      </c>
      <c r="F13" s="7" t="n">
        <v>1900</v>
      </c>
      <c r="G13" s="7" t="n">
        <v>1950</v>
      </c>
    </row>
    <row r="14">
      <c r="A14" t="n">
        <v>2300</v>
      </c>
      <c r="B14" t="inlineStr">
        <is>
          <t>Payroll Liabilities</t>
        </is>
      </c>
      <c r="C14" t="inlineStr">
        <is>
          <t>Liability</t>
        </is>
      </c>
      <c r="D14" s="7" t="n">
        <v>2200</v>
      </c>
      <c r="E14" s="7" t="n">
        <v>2200</v>
      </c>
      <c r="F14" s="7" t="n">
        <v>2300</v>
      </c>
      <c r="G14" s="7" t="n">
        <v>2300</v>
      </c>
    </row>
    <row r="15">
      <c r="A15" t="n">
        <v>2400</v>
      </c>
      <c r="B15" t="inlineStr">
        <is>
          <t>Loan Payable - Equipment</t>
        </is>
      </c>
      <c r="C15" t="inlineStr">
        <is>
          <t>Liability</t>
        </is>
      </c>
      <c r="D15" s="7" t="n">
        <v>18000</v>
      </c>
      <c r="E15" s="7" t="n">
        <v>17600</v>
      </c>
      <c r="F15" s="7" t="n">
        <v>17200</v>
      </c>
      <c r="G15" s="7" t="n">
        <v>16800</v>
      </c>
    </row>
    <row r="16">
      <c r="A16" t="n">
        <v>3000</v>
      </c>
      <c r="B16" t="inlineStr">
        <is>
          <t>Common Stock</t>
        </is>
      </c>
      <c r="C16" t="inlineStr">
        <is>
          <t>Equity</t>
        </is>
      </c>
      <c r="D16" s="7" t="n">
        <v>10000</v>
      </c>
      <c r="E16" s="7" t="n">
        <v>10000</v>
      </c>
      <c r="F16" s="7" t="n">
        <v>10000</v>
      </c>
      <c r="G16" s="7" t="n">
        <v>10000</v>
      </c>
    </row>
    <row r="17">
      <c r="A17" t="n">
        <v>3100</v>
      </c>
      <c r="B17" t="inlineStr">
        <is>
          <t>Retained Earnings</t>
        </is>
      </c>
      <c r="C17" t="inlineStr">
        <is>
          <t>Equity</t>
        </is>
      </c>
      <c r="D17" s="7" t="n">
        <v>58000</v>
      </c>
      <c r="E17" s="7" t="n">
        <v>63620</v>
      </c>
      <c r="F17" s="7" t="n">
        <v>73355</v>
      </c>
      <c r="G17" s="7" t="n">
        <v>83380</v>
      </c>
    </row>
    <row r="18">
      <c r="A18" t="n">
        <v>3200</v>
      </c>
      <c r="B18" t="inlineStr">
        <is>
          <t>Owner Draws</t>
        </is>
      </c>
      <c r="C18" t="inlineStr">
        <is>
          <t>Equity</t>
        </is>
      </c>
      <c r="D18" s="7" t="n">
        <v>2000</v>
      </c>
      <c r="E18" s="7" t="n">
        <v>4000</v>
      </c>
      <c r="F18" s="7" t="n">
        <v>6000</v>
      </c>
      <c r="G18" s="7" t="n">
        <v>8000</v>
      </c>
    </row>
    <row r="19">
      <c r="A19" t="n">
        <v>4000</v>
      </c>
      <c r="B19" t="inlineStr">
        <is>
          <t>Sales - PyPal</t>
        </is>
      </c>
      <c r="C19" t="inlineStr">
        <is>
          <t>Revenue</t>
        </is>
      </c>
      <c r="D19" s="7" t="n">
        <v>15000</v>
      </c>
      <c r="E19" s="7" t="n">
        <v>15500</v>
      </c>
      <c r="F19" s="7" t="n">
        <v>16000</v>
      </c>
      <c r="G19" s="7" t="n">
        <v>16200</v>
      </c>
    </row>
    <row r="20">
      <c r="A20" t="n">
        <v>4010</v>
      </c>
      <c r="B20" t="inlineStr">
        <is>
          <t>Sales - ByteBot</t>
        </is>
      </c>
      <c r="C20" t="inlineStr">
        <is>
          <t>Revenue</t>
        </is>
      </c>
      <c r="D20" s="7" t="n">
        <v>18000</v>
      </c>
      <c r="E20" s="7" t="n">
        <v>18500</v>
      </c>
      <c r="F20" s="7" t="n">
        <v>19000</v>
      </c>
      <c r="G20" s="7" t="n">
        <v>19200</v>
      </c>
    </row>
    <row r="21">
      <c r="A21" t="n">
        <v>4020</v>
      </c>
      <c r="B21" t="inlineStr">
        <is>
          <t>Sales - TensorTurtle</t>
        </is>
      </c>
      <c r="C21" t="inlineStr">
        <is>
          <t>Revenue</t>
        </is>
      </c>
      <c r="D21" s="7" t="n">
        <v>9000</v>
      </c>
      <c r="E21" s="7" t="n">
        <v>9200</v>
      </c>
      <c r="F21" s="7" t="n">
        <v>9500</v>
      </c>
      <c r="G21" s="7" t="n">
        <v>9700</v>
      </c>
    </row>
    <row r="22">
      <c r="A22" t="n">
        <v>4900</v>
      </c>
      <c r="B22" t="inlineStr">
        <is>
          <t>Shipping Income</t>
        </is>
      </c>
      <c r="C22" t="inlineStr">
        <is>
          <t>Revenue</t>
        </is>
      </c>
      <c r="D22" s="7" t="n">
        <v>1200</v>
      </c>
      <c r="E22" s="7" t="n">
        <v>1250</v>
      </c>
      <c r="F22" s="7" t="n">
        <v>1300</v>
      </c>
      <c r="G22" s="7" t="n">
        <v>1320</v>
      </c>
    </row>
    <row r="23">
      <c r="A23" t="n">
        <v>5000</v>
      </c>
      <c r="B23" t="inlineStr">
        <is>
          <t>COGS - Materials</t>
        </is>
      </c>
      <c r="C23" t="inlineStr">
        <is>
          <t>COGS</t>
        </is>
      </c>
      <c r="D23" s="7" t="n">
        <v>9000</v>
      </c>
      <c r="E23" s="7" t="n">
        <v>9200</v>
      </c>
      <c r="F23" s="7" t="n">
        <v>9400</v>
      </c>
      <c r="G23" s="7" t="n">
        <v>9600</v>
      </c>
    </row>
    <row r="24">
      <c r="A24" t="n">
        <v>5010</v>
      </c>
      <c r="B24" t="inlineStr">
        <is>
          <t>COGS - Labor</t>
        </is>
      </c>
      <c r="C24" t="inlineStr">
        <is>
          <t>COGS</t>
        </is>
      </c>
      <c r="D24" s="7" t="n">
        <v>6000</v>
      </c>
      <c r="E24" s="7" t="n">
        <v>6100</v>
      </c>
      <c r="F24" s="7" t="n">
        <v>6200</v>
      </c>
      <c r="G24" s="7" t="n">
        <v>6300</v>
      </c>
    </row>
    <row r="25">
      <c r="A25" t="n">
        <v>6000</v>
      </c>
      <c r="B25" t="inlineStr">
        <is>
          <t>Rent Expense</t>
        </is>
      </c>
      <c r="C25" t="inlineStr">
        <is>
          <t>Expense</t>
        </is>
      </c>
      <c r="D25" s="7" t="n">
        <v>3500</v>
      </c>
      <c r="E25" s="7" t="n">
        <v>3500</v>
      </c>
      <c r="F25" s="7" t="n">
        <v>3500</v>
      </c>
      <c r="G25" s="7" t="n">
        <v>3500</v>
      </c>
    </row>
    <row r="26">
      <c r="A26" t="n">
        <v>6010</v>
      </c>
      <c r="B26" t="inlineStr">
        <is>
          <t>Utilities</t>
        </is>
      </c>
      <c r="C26" t="inlineStr">
        <is>
          <t>Expense</t>
        </is>
      </c>
      <c r="D26" s="7" t="n">
        <v>450</v>
      </c>
      <c r="E26" s="7" t="n">
        <v>480</v>
      </c>
      <c r="F26" s="7" t="n">
        <v>420</v>
      </c>
      <c r="G26" s="7" t="n">
        <v>400</v>
      </c>
    </row>
    <row r="27">
      <c r="A27" t="n">
        <v>6020</v>
      </c>
      <c r="B27" t="inlineStr">
        <is>
          <t>Payroll Expense</t>
        </is>
      </c>
      <c r="C27" t="inlineStr">
        <is>
          <t>Expense</t>
        </is>
      </c>
      <c r="D27" s="7" t="n">
        <v>12000</v>
      </c>
      <c r="E27" s="7" t="n">
        <v>12000</v>
      </c>
      <c r="F27" s="7" t="n">
        <v>12200</v>
      </c>
      <c r="G27" s="7" t="n">
        <v>12200</v>
      </c>
    </row>
    <row r="28">
      <c r="A28" t="n">
        <v>6030</v>
      </c>
      <c r="B28" t="inlineStr">
        <is>
          <t>Marketing &amp; Advertising</t>
        </is>
      </c>
      <c r="C28" t="inlineStr">
        <is>
          <t>Expense</t>
        </is>
      </c>
      <c r="D28" s="7" t="n">
        <v>1500</v>
      </c>
      <c r="E28" s="7" t="n">
        <v>1500</v>
      </c>
      <c r="F28" s="7" t="n">
        <v>1600</v>
      </c>
      <c r="G28" s="7" t="n">
        <v>1600</v>
      </c>
    </row>
    <row r="29">
      <c r="A29" t="n">
        <v>6040</v>
      </c>
      <c r="B29" t="inlineStr">
        <is>
          <t>Software Subscriptions</t>
        </is>
      </c>
      <c r="C29" t="inlineStr">
        <is>
          <t>Expense</t>
        </is>
      </c>
      <c r="D29" s="7" t="n">
        <v>380</v>
      </c>
      <c r="E29" s="7" t="n">
        <v>380</v>
      </c>
      <c r="F29" s="7" t="n">
        <v>395</v>
      </c>
      <c r="G29" s="7" t="n">
        <v>395</v>
      </c>
    </row>
    <row r="30">
      <c r="A30" t="n">
        <v>6050</v>
      </c>
      <c r="B30" t="inlineStr">
        <is>
          <t>Insurance Expense</t>
        </is>
      </c>
      <c r="C30" t="inlineStr">
        <is>
          <t>Expense</t>
        </is>
      </c>
      <c r="D30" s="7" t="n">
        <v>600</v>
      </c>
      <c r="E30" s="7" t="n">
        <v>600</v>
      </c>
      <c r="F30" s="7" t="n">
        <v>600</v>
      </c>
      <c r="G30" s="7" t="n">
        <v>600</v>
      </c>
    </row>
    <row r="31">
      <c r="A31" t="n">
        <v>6060</v>
      </c>
      <c r="B31" t="inlineStr">
        <is>
          <t>Professional Fees</t>
        </is>
      </c>
      <c r="C31" t="inlineStr">
        <is>
          <t>Expense</t>
        </is>
      </c>
      <c r="D31" s="7" t="n">
        <v>500</v>
      </c>
      <c r="E31" s="7" t="n">
        <v>3800</v>
      </c>
      <c r="F31" s="7" t="n">
        <v>450</v>
      </c>
      <c r="G31" s="7" t="n">
        <v>500</v>
      </c>
    </row>
    <row r="32">
      <c r="A32" t="n">
        <v>6070</v>
      </c>
      <c r="B32" t="inlineStr">
        <is>
          <t>Depreciation Expense</t>
        </is>
      </c>
      <c r="C32" t="inlineStr">
        <is>
          <t>Expense</t>
        </is>
      </c>
      <c r="D32" s="7" t="n">
        <v>800</v>
      </c>
      <c r="E32" s="7" t="n">
        <v>800</v>
      </c>
      <c r="F32" s="7" t="n">
        <v>800</v>
      </c>
      <c r="G32" s="7" t="n">
        <v>800</v>
      </c>
    </row>
    <row r="33">
      <c r="A33" t="n">
        <v>6080</v>
      </c>
      <c r="B33" t="inlineStr">
        <is>
          <t>Bank Fees &amp; Merchant Charges</t>
        </is>
      </c>
      <c r="C33" t="inlineStr">
        <is>
          <t>Expense</t>
        </is>
      </c>
      <c r="D33" s="7" t="n">
        <v>320</v>
      </c>
      <c r="E33" s="7" t="n">
        <v>330</v>
      </c>
      <c r="F33" s="7" t="n">
        <v>340</v>
      </c>
      <c r="G33" s="7" t="n">
        <v>345</v>
      </c>
    </row>
    <row r="34">
      <c r="A34" t="n">
        <v>6090</v>
      </c>
      <c r="B34" t="inlineStr">
        <is>
          <t>Office Supplies</t>
        </is>
      </c>
      <c r="C34" t="inlineStr">
        <is>
          <t>Expense</t>
        </is>
      </c>
      <c r="D34" s="7" t="n">
        <v>150</v>
      </c>
      <c r="E34" s="7" t="n">
        <v>140</v>
      </c>
      <c r="F34" s="7" t="n">
        <v>160</v>
      </c>
      <c r="G34" s="7" t="n">
        <v>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Trial Balance - 2026 (Current Year) (source data, do not edit)</t>
        </is>
      </c>
    </row>
    <row r="2">
      <c r="A2" s="4" t="inlineStr">
        <is>
          <t>Account Code</t>
        </is>
      </c>
      <c r="B2" s="4" t="inlineStr">
        <is>
          <t>Account</t>
        </is>
      </c>
      <c r="C2" s="4" t="inlineStr">
        <is>
          <t>Type</t>
        </is>
      </c>
      <c r="D2" s="4" t="inlineStr">
        <is>
          <t>Jan</t>
        </is>
      </c>
      <c r="E2" s="4" t="inlineStr">
        <is>
          <t>Feb</t>
        </is>
      </c>
      <c r="F2" s="4" t="inlineStr">
        <is>
          <t>Mar</t>
        </is>
      </c>
      <c r="G2" s="4" t="inlineStr">
        <is>
          <t>Apr</t>
        </is>
      </c>
    </row>
    <row r="3">
      <c r="A3" t="n">
        <v>1000</v>
      </c>
      <c r="B3" t="inlineStr">
        <is>
          <t>Checking</t>
        </is>
      </c>
      <c r="C3" t="inlineStr">
        <is>
          <t>Asset</t>
        </is>
      </c>
      <c r="D3" s="7" t="n">
        <v>42870</v>
      </c>
      <c r="E3" s="7" t="n">
        <v>47175</v>
      </c>
      <c r="F3" s="7" t="n">
        <v>41325</v>
      </c>
      <c r="G3" s="7" t="n">
        <v>41385</v>
      </c>
    </row>
    <row r="4">
      <c r="A4" t="n">
        <v>1010</v>
      </c>
      <c r="B4" t="inlineStr">
        <is>
          <t>Savings</t>
        </is>
      </c>
      <c r="C4" t="inlineStr">
        <is>
          <t>Asset</t>
        </is>
      </c>
      <c r="D4" s="7" t="n">
        <v>20000</v>
      </c>
      <c r="E4" s="7" t="n">
        <v>20000</v>
      </c>
      <c r="F4" s="7" t="n">
        <v>20000</v>
      </c>
      <c r="G4" s="7" t="n">
        <v>20000</v>
      </c>
    </row>
    <row r="5">
      <c r="A5" t="n">
        <v>1200</v>
      </c>
      <c r="B5" t="inlineStr">
        <is>
          <t>Accounts Receivable</t>
        </is>
      </c>
      <c r="C5" t="inlineStr">
        <is>
          <t>Asset</t>
        </is>
      </c>
      <c r="D5" s="7" t="n">
        <v>15400</v>
      </c>
      <c r="E5" s="7" t="n">
        <v>15700</v>
      </c>
      <c r="F5" s="7" t="n">
        <v>16100</v>
      </c>
      <c r="G5" s="7" t="n">
        <v>24800</v>
      </c>
    </row>
    <row r="6">
      <c r="A6" t="n">
        <v>1300</v>
      </c>
      <c r="B6" t="inlineStr">
        <is>
          <t>Inventory - Raw Materials</t>
        </is>
      </c>
      <c r="C6" t="inlineStr">
        <is>
          <t>Asset</t>
        </is>
      </c>
      <c r="D6" s="7" t="n">
        <v>8700</v>
      </c>
      <c r="E6" s="7" t="n">
        <v>8850</v>
      </c>
      <c r="F6" s="7" t="n">
        <v>9200</v>
      </c>
      <c r="G6" s="7" t="n">
        <v>9500</v>
      </c>
    </row>
    <row r="7">
      <c r="A7" t="n">
        <v>1310</v>
      </c>
      <c r="B7" t="inlineStr">
        <is>
          <t>Inventory - Finished Goods</t>
        </is>
      </c>
      <c r="C7" t="inlineStr">
        <is>
          <t>Asset</t>
        </is>
      </c>
      <c r="D7" s="7" t="n">
        <v>11700</v>
      </c>
      <c r="E7" s="7" t="n">
        <v>11900</v>
      </c>
      <c r="F7" s="7" t="n">
        <v>12100</v>
      </c>
      <c r="G7" s="7" t="n">
        <v>12300</v>
      </c>
    </row>
    <row r="8">
      <c r="A8" t="n">
        <v>1400</v>
      </c>
      <c r="B8" t="inlineStr">
        <is>
          <t>Prepaid Insurance</t>
        </is>
      </c>
      <c r="C8" t="inlineStr">
        <is>
          <t>Asset</t>
        </is>
      </c>
      <c r="D8" s="7" t="n">
        <v>1600</v>
      </c>
      <c r="E8" s="7" t="n">
        <v>1400</v>
      </c>
      <c r="F8" s="7" t="n">
        <v>1200</v>
      </c>
      <c r="G8" s="7" t="n">
        <v>1000</v>
      </c>
    </row>
    <row r="9">
      <c r="A9" t="n">
        <v>1500</v>
      </c>
      <c r="B9" t="inlineStr">
        <is>
          <t>Equipment</t>
        </is>
      </c>
      <c r="C9" t="inlineStr">
        <is>
          <t>Asset</t>
        </is>
      </c>
      <c r="D9" s="7" t="n">
        <v>45000</v>
      </c>
      <c r="E9" s="7" t="n">
        <v>45000</v>
      </c>
      <c r="F9" s="7" t="n">
        <v>46800</v>
      </c>
      <c r="G9" s="7" t="n">
        <v>46800</v>
      </c>
    </row>
    <row r="10">
      <c r="A10" t="n">
        <v>1510</v>
      </c>
      <c r="B10" t="inlineStr">
        <is>
          <t>Accumulated Depreciation</t>
        </is>
      </c>
      <c r="C10" t="inlineStr">
        <is>
          <t>Asset</t>
        </is>
      </c>
      <c r="D10" s="7" t="n">
        <v>13000</v>
      </c>
      <c r="E10" s="7" t="n">
        <v>13800</v>
      </c>
      <c r="F10" s="7" t="n">
        <v>14600</v>
      </c>
      <c r="G10" s="7" t="n">
        <v>15400</v>
      </c>
    </row>
    <row r="11">
      <c r="A11" t="n">
        <v>2000</v>
      </c>
      <c r="B11" t="inlineStr">
        <is>
          <t>Accounts Payable</t>
        </is>
      </c>
      <c r="C11" t="inlineStr">
        <is>
          <t>Liability</t>
        </is>
      </c>
      <c r="D11" s="7" t="n">
        <v>7700</v>
      </c>
      <c r="E11" s="7" t="n">
        <v>7900</v>
      </c>
      <c r="F11" s="7" t="n">
        <v>8100</v>
      </c>
      <c r="G11" s="7" t="n">
        <v>8300</v>
      </c>
    </row>
    <row r="12">
      <c r="A12" t="n">
        <v>2100</v>
      </c>
      <c r="B12" t="inlineStr">
        <is>
          <t>Credit Card Payable</t>
        </is>
      </c>
      <c r="C12" t="inlineStr">
        <is>
          <t>Liability</t>
        </is>
      </c>
      <c r="D12" s="7" t="n">
        <v>3500</v>
      </c>
      <c r="E12" s="7" t="n">
        <v>3600</v>
      </c>
      <c r="F12" s="7" t="n">
        <v>3450</v>
      </c>
      <c r="G12" s="7" t="n">
        <v>4700</v>
      </c>
    </row>
    <row r="13">
      <c r="A13" t="n">
        <v>2200</v>
      </c>
      <c r="B13" t="inlineStr">
        <is>
          <t>Sales Tax Payable</t>
        </is>
      </c>
      <c r="C13" t="inlineStr">
        <is>
          <t>Liability</t>
        </is>
      </c>
      <c r="D13" s="7" t="n">
        <v>1980</v>
      </c>
      <c r="E13" s="7" t="n">
        <v>2020</v>
      </c>
      <c r="F13" s="7" t="n">
        <v>2060</v>
      </c>
      <c r="G13" s="7" t="n">
        <v>2100</v>
      </c>
    </row>
    <row r="14">
      <c r="A14" t="n">
        <v>2300</v>
      </c>
      <c r="B14" t="inlineStr">
        <is>
          <t>Payroll Liabilities</t>
        </is>
      </c>
      <c r="C14" t="inlineStr">
        <is>
          <t>Liability</t>
        </is>
      </c>
      <c r="D14" s="7" t="n">
        <v>2350</v>
      </c>
      <c r="E14" s="7" t="n">
        <v>2350</v>
      </c>
      <c r="F14" s="7" t="n">
        <v>2400</v>
      </c>
      <c r="G14" s="7" t="n">
        <v>2400</v>
      </c>
    </row>
    <row r="15">
      <c r="A15" t="n">
        <v>2400</v>
      </c>
      <c r="B15" t="inlineStr">
        <is>
          <t>Loan Payable - Equipment</t>
        </is>
      </c>
      <c r="C15" t="inlineStr">
        <is>
          <t>Liability</t>
        </is>
      </c>
      <c r="D15" s="7" t="n">
        <v>16400</v>
      </c>
      <c r="E15" s="7" t="n">
        <v>16000</v>
      </c>
      <c r="F15" s="7" t="n">
        <v>15600</v>
      </c>
      <c r="G15" s="7" t="n">
        <v>15200</v>
      </c>
    </row>
    <row r="16">
      <c r="A16" t="n">
        <v>3000</v>
      </c>
      <c r="B16" t="inlineStr">
        <is>
          <t>Common Stock</t>
        </is>
      </c>
      <c r="C16" t="inlineStr">
        <is>
          <t>Equity</t>
        </is>
      </c>
      <c r="D16" s="7" t="n">
        <v>10000</v>
      </c>
      <c r="E16" s="7" t="n">
        <v>10000</v>
      </c>
      <c r="F16" s="7" t="n">
        <v>10000</v>
      </c>
      <c r="G16" s="7" t="n">
        <v>10000</v>
      </c>
    </row>
    <row r="17">
      <c r="A17" t="n">
        <v>3100</v>
      </c>
      <c r="B17" t="inlineStr">
        <is>
          <t>Retained Earnings</t>
        </is>
      </c>
      <c r="C17" t="inlineStr">
        <is>
          <t>Equity</t>
        </is>
      </c>
      <c r="D17" s="7" t="n">
        <v>92540</v>
      </c>
      <c r="E17" s="7" t="n">
        <v>98755</v>
      </c>
      <c r="F17" s="7" t="n">
        <v>97115</v>
      </c>
      <c r="G17" s="7" t="n">
        <v>106485</v>
      </c>
    </row>
    <row r="18">
      <c r="A18" t="n">
        <v>3200</v>
      </c>
      <c r="B18" t="inlineStr">
        <is>
          <t>Owner Draws</t>
        </is>
      </c>
      <c r="C18" t="inlineStr">
        <is>
          <t>Equity</t>
        </is>
      </c>
      <c r="D18" s="7" t="n">
        <v>2200</v>
      </c>
      <c r="E18" s="7" t="n">
        <v>4400</v>
      </c>
      <c r="F18" s="7" t="n">
        <v>6600</v>
      </c>
      <c r="G18" s="7" t="n">
        <v>8800</v>
      </c>
    </row>
    <row r="19">
      <c r="A19" t="n">
        <v>4000</v>
      </c>
      <c r="B19" t="inlineStr">
        <is>
          <t>Sales - PyPal</t>
        </is>
      </c>
      <c r="C19" t="inlineStr">
        <is>
          <t>Revenue</t>
        </is>
      </c>
      <c r="D19" s="7" t="n">
        <v>16000</v>
      </c>
      <c r="E19" s="7" t="n">
        <v>16300</v>
      </c>
      <c r="F19" s="7" t="n">
        <v>17000</v>
      </c>
      <c r="G19" s="7" t="n">
        <v>21000</v>
      </c>
    </row>
    <row r="20">
      <c r="A20" t="n">
        <v>4010</v>
      </c>
      <c r="B20" t="inlineStr">
        <is>
          <t>Sales - ByteBot</t>
        </is>
      </c>
      <c r="C20" t="inlineStr">
        <is>
          <t>Revenue</t>
        </is>
      </c>
      <c r="D20" s="7" t="n">
        <v>19000</v>
      </c>
      <c r="E20" s="7" t="n">
        <v>19500</v>
      </c>
      <c r="F20" s="7" t="n">
        <v>19800</v>
      </c>
      <c r="G20" s="7" t="n">
        <v>20200</v>
      </c>
    </row>
    <row r="21">
      <c r="A21" t="n">
        <v>4020</v>
      </c>
      <c r="B21" t="inlineStr">
        <is>
          <t>Sales - TensorTurtle</t>
        </is>
      </c>
      <c r="C21" t="inlineStr">
        <is>
          <t>Revenue</t>
        </is>
      </c>
      <c r="D21" s="7" t="n">
        <v>9700</v>
      </c>
      <c r="E21" s="7" t="n">
        <v>9900</v>
      </c>
      <c r="F21" s="7" t="n">
        <v>10100</v>
      </c>
      <c r="G21" s="7" t="n">
        <v>10400</v>
      </c>
    </row>
    <row r="22">
      <c r="A22" t="n">
        <v>4900</v>
      </c>
      <c r="B22" t="inlineStr">
        <is>
          <t>Shipping Income</t>
        </is>
      </c>
      <c r="C22" t="inlineStr">
        <is>
          <t>Revenue</t>
        </is>
      </c>
      <c r="D22" s="7" t="n">
        <v>1320</v>
      </c>
      <c r="E22" s="7" t="n">
        <v>1350</v>
      </c>
      <c r="F22" s="7" t="n">
        <v>1400</v>
      </c>
      <c r="G22" s="7" t="n">
        <v>1450</v>
      </c>
    </row>
    <row r="23">
      <c r="A23" t="n">
        <v>5000</v>
      </c>
      <c r="B23" t="inlineStr">
        <is>
          <t>COGS - Materials</t>
        </is>
      </c>
      <c r="C23" t="inlineStr">
        <is>
          <t>COGS</t>
        </is>
      </c>
      <c r="D23" s="7" t="n">
        <v>9500</v>
      </c>
      <c r="E23" s="7" t="n">
        <v>9700</v>
      </c>
      <c r="F23" s="7" t="n">
        <v>13500</v>
      </c>
      <c r="G23" s="7" t="n">
        <v>14200</v>
      </c>
    </row>
    <row r="24">
      <c r="A24" t="n">
        <v>5010</v>
      </c>
      <c r="B24" t="inlineStr">
        <is>
          <t>COGS - Labor</t>
        </is>
      </c>
      <c r="C24" t="inlineStr">
        <is>
          <t>COGS</t>
        </is>
      </c>
      <c r="D24" s="7" t="n">
        <v>6300</v>
      </c>
      <c r="E24" s="7" t="n">
        <v>6400</v>
      </c>
      <c r="F24" s="7" t="n">
        <v>6500</v>
      </c>
      <c r="G24" s="7" t="n">
        <v>6600</v>
      </c>
    </row>
    <row r="25">
      <c r="A25" t="n">
        <v>6000</v>
      </c>
      <c r="B25" t="inlineStr">
        <is>
          <t>Rent Expense</t>
        </is>
      </c>
      <c r="C25" t="inlineStr">
        <is>
          <t>Expense</t>
        </is>
      </c>
      <c r="D25" s="7" t="n">
        <v>3600</v>
      </c>
      <c r="E25" s="7" t="n">
        <v>3600</v>
      </c>
      <c r="F25" s="7" t="n">
        <v>3600</v>
      </c>
      <c r="G25" s="7" t="n">
        <v>3600</v>
      </c>
    </row>
    <row r="26">
      <c r="A26" t="n">
        <v>6010</v>
      </c>
      <c r="B26" t="inlineStr">
        <is>
          <t>Utilities</t>
        </is>
      </c>
      <c r="C26" t="inlineStr">
        <is>
          <t>Expense</t>
        </is>
      </c>
      <c r="D26" s="7" t="n">
        <v>460</v>
      </c>
      <c r="E26" s="7" t="n">
        <v>490</v>
      </c>
      <c r="F26" s="7" t="n">
        <v>430</v>
      </c>
      <c r="G26" s="7" t="n">
        <v>410</v>
      </c>
    </row>
    <row r="27">
      <c r="A27" t="n">
        <v>6020</v>
      </c>
      <c r="B27" t="inlineStr">
        <is>
          <t>Payroll Expense</t>
        </is>
      </c>
      <c r="C27" t="inlineStr">
        <is>
          <t>Expense</t>
        </is>
      </c>
      <c r="D27" s="7" t="n">
        <v>12500</v>
      </c>
      <c r="E27" s="7" t="n">
        <v>12500</v>
      </c>
      <c r="F27" s="7" t="n">
        <v>12500</v>
      </c>
      <c r="G27" s="7" t="n">
        <v>12500</v>
      </c>
    </row>
    <row r="28">
      <c r="A28" t="n">
        <v>6030</v>
      </c>
      <c r="B28" t="inlineStr">
        <is>
          <t>Marketing &amp; Advertising</t>
        </is>
      </c>
      <c r="C28" t="inlineStr">
        <is>
          <t>Expense</t>
        </is>
      </c>
      <c r="D28" s="7" t="n">
        <v>1600</v>
      </c>
      <c r="E28" s="7" t="n">
        <v>1600</v>
      </c>
      <c r="F28" s="7" t="n">
        <v>9800</v>
      </c>
      <c r="G28" s="7" t="n">
        <v>3200</v>
      </c>
    </row>
    <row r="29">
      <c r="A29" t="n">
        <v>6040</v>
      </c>
      <c r="B29" t="inlineStr">
        <is>
          <t>Software Subscriptions</t>
        </is>
      </c>
      <c r="C29" t="inlineStr">
        <is>
          <t>Expense</t>
        </is>
      </c>
      <c r="D29" s="7" t="n">
        <v>400</v>
      </c>
      <c r="E29" s="7" t="n">
        <v>400</v>
      </c>
      <c r="F29" s="7" t="n">
        <v>410</v>
      </c>
      <c r="G29" s="7" t="n">
        <v>410</v>
      </c>
    </row>
    <row r="30">
      <c r="A30" t="n">
        <v>6050</v>
      </c>
      <c r="B30" t="inlineStr">
        <is>
          <t>Insurance Expense</t>
        </is>
      </c>
      <c r="C30" t="inlineStr">
        <is>
          <t>Expense</t>
        </is>
      </c>
      <c r="D30" s="7" t="n">
        <v>620</v>
      </c>
      <c r="E30" s="7" t="n">
        <v>620</v>
      </c>
      <c r="F30" s="7" t="n">
        <v>620</v>
      </c>
      <c r="G30" s="7" t="n">
        <v>620</v>
      </c>
    </row>
    <row r="31">
      <c r="A31" t="n">
        <v>6060</v>
      </c>
      <c r="B31" t="inlineStr">
        <is>
          <t>Professional Fees</t>
        </is>
      </c>
      <c r="C31" t="inlineStr">
        <is>
          <t>Expense</t>
        </is>
      </c>
      <c r="D31" s="7" t="n">
        <v>550</v>
      </c>
      <c r="E31" s="7" t="n">
        <v>4200</v>
      </c>
      <c r="F31" s="7" t="n">
        <v>500</v>
      </c>
      <c r="G31" s="7" t="n">
        <v>550</v>
      </c>
    </row>
    <row r="32">
      <c r="A32" t="n">
        <v>6070</v>
      </c>
      <c r="B32" t="inlineStr">
        <is>
          <t>Depreciation Expense</t>
        </is>
      </c>
      <c r="C32" t="inlineStr">
        <is>
          <t>Expense</t>
        </is>
      </c>
      <c r="D32" s="7" t="n">
        <v>820</v>
      </c>
      <c r="E32" s="7" t="n">
        <v>820</v>
      </c>
      <c r="F32" s="7" t="n">
        <v>820</v>
      </c>
      <c r="G32" s="7" t="n">
        <v>820</v>
      </c>
    </row>
    <row r="33">
      <c r="A33" t="n">
        <v>6080</v>
      </c>
      <c r="B33" t="inlineStr">
        <is>
          <t>Bank Fees &amp; Merchant Charges</t>
        </is>
      </c>
      <c r="C33" t="inlineStr">
        <is>
          <t>Expense</t>
        </is>
      </c>
      <c r="D33" s="7" t="n">
        <v>350</v>
      </c>
      <c r="E33" s="7" t="n">
        <v>355</v>
      </c>
      <c r="F33" s="7" t="n">
        <v>360</v>
      </c>
      <c r="G33" s="7" t="n">
        <v>600</v>
      </c>
    </row>
    <row r="34">
      <c r="A34" t="n">
        <v>6090</v>
      </c>
      <c r="B34" t="inlineStr">
        <is>
          <t>Office Supplies</t>
        </is>
      </c>
      <c r="C34" t="inlineStr">
        <is>
          <t>Expense</t>
        </is>
      </c>
      <c r="D34" s="7" t="n">
        <v>160</v>
      </c>
      <c r="E34" s="7" t="n">
        <v>150</v>
      </c>
      <c r="F34" s="7" t="n">
        <v>900</v>
      </c>
      <c r="G34" s="7" t="n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8" customWidth="1" min="4" max="4"/>
    <col width="14" customWidth="1" min="5" max="5"/>
    <col width="14" customWidth="1" min="6" max="6"/>
    <col width="12" customWidth="1" min="7" max="7"/>
    <col width="10" customWidth="1" min="8" max="8"/>
    <col width="8" customWidth="1" min="9" max="9"/>
  </cols>
  <sheetData>
    <row r="1">
      <c r="A1" s="6" t="inlineStr">
        <is>
          <t>Year-over-Year Variance - same month, 2026 vs. 2025</t>
        </is>
      </c>
    </row>
    <row r="2">
      <c r="A2" s="4" t="inlineStr">
        <is>
          <t>Account Code</t>
        </is>
      </c>
      <c r="B2" s="4" t="inlineStr">
        <is>
          <t>Account</t>
        </is>
      </c>
      <c r="C2" s="4" t="inlineStr">
        <is>
          <t>Type</t>
        </is>
      </c>
      <c r="D2" s="4" t="inlineStr">
        <is>
          <t>Month</t>
        </is>
      </c>
      <c r="E2" s="4" t="inlineStr">
        <is>
          <t>Prior (2025)</t>
        </is>
      </c>
      <c r="F2" s="4" t="inlineStr">
        <is>
          <t>Current (2026)</t>
        </is>
      </c>
      <c r="G2" s="4" t="inlineStr">
        <is>
          <t>$ Var</t>
        </is>
      </c>
      <c r="H2" s="4" t="inlineStr">
        <is>
          <t>% Var</t>
        </is>
      </c>
      <c r="I2" s="4" t="inlineStr">
        <is>
          <t>Flag</t>
        </is>
      </c>
    </row>
    <row r="3">
      <c r="A3">
        <f>'TB_2025'!A3</f>
        <v/>
      </c>
      <c r="B3">
        <f>'TB_2025'!B3</f>
        <v/>
      </c>
      <c r="C3">
        <f>'TB_2025'!C3</f>
        <v/>
      </c>
      <c r="D3" t="inlineStr">
        <is>
          <t>Jan</t>
        </is>
      </c>
      <c r="E3" s="7">
        <f>'TB_2025'!D3</f>
        <v/>
      </c>
      <c r="F3" s="7">
        <f>'TB_2026'!D3</f>
        <v/>
      </c>
      <c r="G3" s="7">
        <f>F3-E3</f>
        <v/>
      </c>
      <c r="H3" s="8">
        <f>IF(E3=0,"",G3/ABS(E3))</f>
        <v/>
      </c>
      <c r="I3">
        <f>IF(AND(ABS(G3)&gt;Dashboard!$B$6,ISNUMBER(H3),ABS(H3)&gt;Dashboard!$C$6),"FLAG","")</f>
        <v/>
      </c>
    </row>
    <row r="4">
      <c r="A4">
        <f>'TB_2025'!A3</f>
        <v/>
      </c>
      <c r="B4">
        <f>'TB_2025'!B3</f>
        <v/>
      </c>
      <c r="C4">
        <f>'TB_2025'!C3</f>
        <v/>
      </c>
      <c r="D4" t="inlineStr">
        <is>
          <t>Feb</t>
        </is>
      </c>
      <c r="E4" s="7">
        <f>'TB_2025'!E3</f>
        <v/>
      </c>
      <c r="F4" s="7">
        <f>'TB_2026'!E3</f>
        <v/>
      </c>
      <c r="G4" s="7">
        <f>F4-E4</f>
        <v/>
      </c>
      <c r="H4" s="8">
        <f>IF(E4=0,"",G4/ABS(E4))</f>
        <v/>
      </c>
      <c r="I4">
        <f>IF(AND(ABS(G4)&gt;Dashboard!$B$6,ISNUMBER(H4),ABS(H4)&gt;Dashboard!$C$6),"FLAG","")</f>
        <v/>
      </c>
    </row>
    <row r="5">
      <c r="A5">
        <f>'TB_2025'!A3</f>
        <v/>
      </c>
      <c r="B5">
        <f>'TB_2025'!B3</f>
        <v/>
      </c>
      <c r="C5">
        <f>'TB_2025'!C3</f>
        <v/>
      </c>
      <c r="D5" t="inlineStr">
        <is>
          <t>Mar</t>
        </is>
      </c>
      <c r="E5" s="7">
        <f>'TB_2025'!F3</f>
        <v/>
      </c>
      <c r="F5" s="7">
        <f>'TB_2026'!F3</f>
        <v/>
      </c>
      <c r="G5" s="7">
        <f>F5-E5</f>
        <v/>
      </c>
      <c r="H5" s="8">
        <f>IF(E5=0,"",G5/ABS(E5))</f>
        <v/>
      </c>
      <c r="I5">
        <f>IF(AND(ABS(G5)&gt;Dashboard!$B$6,ISNUMBER(H5),ABS(H5)&gt;Dashboard!$C$6),"FLAG","")</f>
        <v/>
      </c>
    </row>
    <row r="6">
      <c r="A6">
        <f>'TB_2025'!A3</f>
        <v/>
      </c>
      <c r="B6">
        <f>'TB_2025'!B3</f>
        <v/>
      </c>
      <c r="C6">
        <f>'TB_2025'!C3</f>
        <v/>
      </c>
      <c r="D6" t="inlineStr">
        <is>
          <t>Apr</t>
        </is>
      </c>
      <c r="E6" s="7">
        <f>'TB_2025'!G3</f>
        <v/>
      </c>
      <c r="F6" s="7">
        <f>'TB_2026'!G3</f>
        <v/>
      </c>
      <c r="G6" s="7">
        <f>F6-E6</f>
        <v/>
      </c>
      <c r="H6" s="8">
        <f>IF(E6=0,"",G6/ABS(E6))</f>
        <v/>
      </c>
      <c r="I6">
        <f>IF(AND(ABS(G6)&gt;Dashboard!$B$6,ISNUMBER(H6),ABS(H6)&gt;Dashboard!$C$6),"FLAG","")</f>
        <v/>
      </c>
    </row>
    <row r="7">
      <c r="A7">
        <f>'TB_2025'!A4</f>
        <v/>
      </c>
      <c r="B7">
        <f>'TB_2025'!B4</f>
        <v/>
      </c>
      <c r="C7">
        <f>'TB_2025'!C4</f>
        <v/>
      </c>
      <c r="D7" t="inlineStr">
        <is>
          <t>Jan</t>
        </is>
      </c>
      <c r="E7" s="7">
        <f>'TB_2025'!D4</f>
        <v/>
      </c>
      <c r="F7" s="7">
        <f>'TB_2026'!D4</f>
        <v/>
      </c>
      <c r="G7" s="7">
        <f>F7-E7</f>
        <v/>
      </c>
      <c r="H7" s="8">
        <f>IF(E7=0,"",G7/ABS(E7))</f>
        <v/>
      </c>
      <c r="I7">
        <f>IF(AND(ABS(G7)&gt;Dashboard!$B$6,ISNUMBER(H7),ABS(H7)&gt;Dashboard!$C$6),"FLAG","")</f>
        <v/>
      </c>
    </row>
    <row r="8">
      <c r="A8">
        <f>'TB_2025'!A4</f>
        <v/>
      </c>
      <c r="B8">
        <f>'TB_2025'!B4</f>
        <v/>
      </c>
      <c r="C8">
        <f>'TB_2025'!C4</f>
        <v/>
      </c>
      <c r="D8" t="inlineStr">
        <is>
          <t>Feb</t>
        </is>
      </c>
      <c r="E8" s="7">
        <f>'TB_2025'!E4</f>
        <v/>
      </c>
      <c r="F8" s="7">
        <f>'TB_2026'!E4</f>
        <v/>
      </c>
      <c r="G8" s="7">
        <f>F8-E8</f>
        <v/>
      </c>
      <c r="H8" s="8">
        <f>IF(E8=0,"",G8/ABS(E8))</f>
        <v/>
      </c>
      <c r="I8">
        <f>IF(AND(ABS(G8)&gt;Dashboard!$B$6,ISNUMBER(H8),ABS(H8)&gt;Dashboard!$C$6),"FLAG","")</f>
        <v/>
      </c>
    </row>
    <row r="9">
      <c r="A9">
        <f>'TB_2025'!A4</f>
        <v/>
      </c>
      <c r="B9">
        <f>'TB_2025'!B4</f>
        <v/>
      </c>
      <c r="C9">
        <f>'TB_2025'!C4</f>
        <v/>
      </c>
      <c r="D9" t="inlineStr">
        <is>
          <t>Mar</t>
        </is>
      </c>
      <c r="E9" s="7">
        <f>'TB_2025'!F4</f>
        <v/>
      </c>
      <c r="F9" s="7">
        <f>'TB_2026'!F4</f>
        <v/>
      </c>
      <c r="G9" s="7">
        <f>F9-E9</f>
        <v/>
      </c>
      <c r="H9" s="8">
        <f>IF(E9=0,"",G9/ABS(E9))</f>
        <v/>
      </c>
      <c r="I9">
        <f>IF(AND(ABS(G9)&gt;Dashboard!$B$6,ISNUMBER(H9),ABS(H9)&gt;Dashboard!$C$6),"FLAG","")</f>
        <v/>
      </c>
    </row>
    <row r="10">
      <c r="A10">
        <f>'TB_2025'!A4</f>
        <v/>
      </c>
      <c r="B10">
        <f>'TB_2025'!B4</f>
        <v/>
      </c>
      <c r="C10">
        <f>'TB_2025'!C4</f>
        <v/>
      </c>
      <c r="D10" t="inlineStr">
        <is>
          <t>Apr</t>
        </is>
      </c>
      <c r="E10" s="7">
        <f>'TB_2025'!G4</f>
        <v/>
      </c>
      <c r="F10" s="7">
        <f>'TB_2026'!G4</f>
        <v/>
      </c>
      <c r="G10" s="7">
        <f>F10-E10</f>
        <v/>
      </c>
      <c r="H10" s="8">
        <f>IF(E10=0,"",G10/ABS(E10))</f>
        <v/>
      </c>
      <c r="I10">
        <f>IF(AND(ABS(G10)&gt;Dashboard!$B$6,ISNUMBER(H10),ABS(H10)&gt;Dashboard!$C$6),"FLAG","")</f>
        <v/>
      </c>
    </row>
    <row r="11">
      <c r="A11">
        <f>'TB_2025'!A5</f>
        <v/>
      </c>
      <c r="B11">
        <f>'TB_2025'!B5</f>
        <v/>
      </c>
      <c r="C11">
        <f>'TB_2025'!C5</f>
        <v/>
      </c>
      <c r="D11" t="inlineStr">
        <is>
          <t>Jan</t>
        </is>
      </c>
      <c r="E11" s="7">
        <f>'TB_2025'!D5</f>
        <v/>
      </c>
      <c r="F11" s="7">
        <f>'TB_2026'!D5</f>
        <v/>
      </c>
      <c r="G11" s="7">
        <f>F11-E11</f>
        <v/>
      </c>
      <c r="H11" s="8">
        <f>IF(E11=0,"",G11/ABS(E11))</f>
        <v/>
      </c>
      <c r="I11">
        <f>IF(AND(ABS(G11)&gt;Dashboard!$B$6,ISNUMBER(H11),ABS(H11)&gt;Dashboard!$C$6),"FLAG","")</f>
        <v/>
      </c>
    </row>
    <row r="12">
      <c r="A12">
        <f>'TB_2025'!A5</f>
        <v/>
      </c>
      <c r="B12">
        <f>'TB_2025'!B5</f>
        <v/>
      </c>
      <c r="C12">
        <f>'TB_2025'!C5</f>
        <v/>
      </c>
      <c r="D12" t="inlineStr">
        <is>
          <t>Feb</t>
        </is>
      </c>
      <c r="E12" s="7">
        <f>'TB_2025'!E5</f>
        <v/>
      </c>
      <c r="F12" s="7">
        <f>'TB_2026'!E5</f>
        <v/>
      </c>
      <c r="G12" s="7">
        <f>F12-E12</f>
        <v/>
      </c>
      <c r="H12" s="8">
        <f>IF(E12=0,"",G12/ABS(E12))</f>
        <v/>
      </c>
      <c r="I12">
        <f>IF(AND(ABS(G12)&gt;Dashboard!$B$6,ISNUMBER(H12),ABS(H12)&gt;Dashboard!$C$6),"FLAG","")</f>
        <v/>
      </c>
    </row>
    <row r="13">
      <c r="A13">
        <f>'TB_2025'!A5</f>
        <v/>
      </c>
      <c r="B13">
        <f>'TB_2025'!B5</f>
        <v/>
      </c>
      <c r="C13">
        <f>'TB_2025'!C5</f>
        <v/>
      </c>
      <c r="D13" t="inlineStr">
        <is>
          <t>Mar</t>
        </is>
      </c>
      <c r="E13" s="7">
        <f>'TB_2025'!F5</f>
        <v/>
      </c>
      <c r="F13" s="7">
        <f>'TB_2026'!F5</f>
        <v/>
      </c>
      <c r="G13" s="7">
        <f>F13-E13</f>
        <v/>
      </c>
      <c r="H13" s="8">
        <f>IF(E13=0,"",G13/ABS(E13))</f>
        <v/>
      </c>
      <c r="I13">
        <f>IF(AND(ABS(G13)&gt;Dashboard!$B$6,ISNUMBER(H13),ABS(H13)&gt;Dashboard!$C$6),"FLAG","")</f>
        <v/>
      </c>
    </row>
    <row r="14">
      <c r="A14">
        <f>'TB_2025'!A5</f>
        <v/>
      </c>
      <c r="B14">
        <f>'TB_2025'!B5</f>
        <v/>
      </c>
      <c r="C14">
        <f>'TB_2025'!C5</f>
        <v/>
      </c>
      <c r="D14" t="inlineStr">
        <is>
          <t>Apr</t>
        </is>
      </c>
      <c r="E14" s="7">
        <f>'TB_2025'!G5</f>
        <v/>
      </c>
      <c r="F14" s="7">
        <f>'TB_2026'!G5</f>
        <v/>
      </c>
      <c r="G14" s="7">
        <f>F14-E14</f>
        <v/>
      </c>
      <c r="H14" s="8">
        <f>IF(E14=0,"",G14/ABS(E14))</f>
        <v/>
      </c>
      <c r="I14">
        <f>IF(AND(ABS(G14)&gt;Dashboard!$B$6,ISNUMBER(H14),ABS(H14)&gt;Dashboard!$C$6),"FLAG","")</f>
        <v/>
      </c>
    </row>
    <row r="15">
      <c r="A15">
        <f>'TB_2025'!A6</f>
        <v/>
      </c>
      <c r="B15">
        <f>'TB_2025'!B6</f>
        <v/>
      </c>
      <c r="C15">
        <f>'TB_2025'!C6</f>
        <v/>
      </c>
      <c r="D15" t="inlineStr">
        <is>
          <t>Jan</t>
        </is>
      </c>
      <c r="E15" s="7">
        <f>'TB_2025'!D6</f>
        <v/>
      </c>
      <c r="F15" s="7">
        <f>'TB_2026'!D6</f>
        <v/>
      </c>
      <c r="G15" s="7">
        <f>F15-E15</f>
        <v/>
      </c>
      <c r="H15" s="8">
        <f>IF(E15=0,"",G15/ABS(E15))</f>
        <v/>
      </c>
      <c r="I15">
        <f>IF(AND(ABS(G15)&gt;Dashboard!$B$6,ISNUMBER(H15),ABS(H15)&gt;Dashboard!$C$6),"FLAG","")</f>
        <v/>
      </c>
    </row>
    <row r="16">
      <c r="A16">
        <f>'TB_2025'!A6</f>
        <v/>
      </c>
      <c r="B16">
        <f>'TB_2025'!B6</f>
        <v/>
      </c>
      <c r="C16">
        <f>'TB_2025'!C6</f>
        <v/>
      </c>
      <c r="D16" t="inlineStr">
        <is>
          <t>Feb</t>
        </is>
      </c>
      <c r="E16" s="7">
        <f>'TB_2025'!E6</f>
        <v/>
      </c>
      <c r="F16" s="7">
        <f>'TB_2026'!E6</f>
        <v/>
      </c>
      <c r="G16" s="7">
        <f>F16-E16</f>
        <v/>
      </c>
      <c r="H16" s="8">
        <f>IF(E16=0,"",G16/ABS(E16))</f>
        <v/>
      </c>
      <c r="I16">
        <f>IF(AND(ABS(G16)&gt;Dashboard!$B$6,ISNUMBER(H16),ABS(H16)&gt;Dashboard!$C$6),"FLAG","")</f>
        <v/>
      </c>
    </row>
    <row r="17">
      <c r="A17">
        <f>'TB_2025'!A6</f>
        <v/>
      </c>
      <c r="B17">
        <f>'TB_2025'!B6</f>
        <v/>
      </c>
      <c r="C17">
        <f>'TB_2025'!C6</f>
        <v/>
      </c>
      <c r="D17" t="inlineStr">
        <is>
          <t>Mar</t>
        </is>
      </c>
      <c r="E17" s="7">
        <f>'TB_2025'!F6</f>
        <v/>
      </c>
      <c r="F17" s="7">
        <f>'TB_2026'!F6</f>
        <v/>
      </c>
      <c r="G17" s="7">
        <f>F17-E17</f>
        <v/>
      </c>
      <c r="H17" s="8">
        <f>IF(E17=0,"",G17/ABS(E17))</f>
        <v/>
      </c>
      <c r="I17">
        <f>IF(AND(ABS(G17)&gt;Dashboard!$B$6,ISNUMBER(H17),ABS(H17)&gt;Dashboard!$C$6),"FLAG","")</f>
        <v/>
      </c>
    </row>
    <row r="18">
      <c r="A18">
        <f>'TB_2025'!A6</f>
        <v/>
      </c>
      <c r="B18">
        <f>'TB_2025'!B6</f>
        <v/>
      </c>
      <c r="C18">
        <f>'TB_2025'!C6</f>
        <v/>
      </c>
      <c r="D18" t="inlineStr">
        <is>
          <t>Apr</t>
        </is>
      </c>
      <c r="E18" s="7">
        <f>'TB_2025'!G6</f>
        <v/>
      </c>
      <c r="F18" s="7">
        <f>'TB_2026'!G6</f>
        <v/>
      </c>
      <c r="G18" s="7">
        <f>F18-E18</f>
        <v/>
      </c>
      <c r="H18" s="8">
        <f>IF(E18=0,"",G18/ABS(E18))</f>
        <v/>
      </c>
      <c r="I18">
        <f>IF(AND(ABS(G18)&gt;Dashboard!$B$6,ISNUMBER(H18),ABS(H18)&gt;Dashboard!$C$6),"FLAG","")</f>
        <v/>
      </c>
    </row>
    <row r="19">
      <c r="A19">
        <f>'TB_2025'!A7</f>
        <v/>
      </c>
      <c r="B19">
        <f>'TB_2025'!B7</f>
        <v/>
      </c>
      <c r="C19">
        <f>'TB_2025'!C7</f>
        <v/>
      </c>
      <c r="D19" t="inlineStr">
        <is>
          <t>Jan</t>
        </is>
      </c>
      <c r="E19" s="7">
        <f>'TB_2025'!D7</f>
        <v/>
      </c>
      <c r="F19" s="7">
        <f>'TB_2026'!D7</f>
        <v/>
      </c>
      <c r="G19" s="7">
        <f>F19-E19</f>
        <v/>
      </c>
      <c r="H19" s="8">
        <f>IF(E19=0,"",G19/ABS(E19))</f>
        <v/>
      </c>
      <c r="I19">
        <f>IF(AND(ABS(G19)&gt;Dashboard!$B$6,ISNUMBER(H19),ABS(H19)&gt;Dashboard!$C$6),"FLAG","")</f>
        <v/>
      </c>
    </row>
    <row r="20">
      <c r="A20">
        <f>'TB_2025'!A7</f>
        <v/>
      </c>
      <c r="B20">
        <f>'TB_2025'!B7</f>
        <v/>
      </c>
      <c r="C20">
        <f>'TB_2025'!C7</f>
        <v/>
      </c>
      <c r="D20" t="inlineStr">
        <is>
          <t>Feb</t>
        </is>
      </c>
      <c r="E20" s="7">
        <f>'TB_2025'!E7</f>
        <v/>
      </c>
      <c r="F20" s="7">
        <f>'TB_2026'!E7</f>
        <v/>
      </c>
      <c r="G20" s="7">
        <f>F20-E20</f>
        <v/>
      </c>
      <c r="H20" s="8">
        <f>IF(E20=0,"",G20/ABS(E20))</f>
        <v/>
      </c>
      <c r="I20">
        <f>IF(AND(ABS(G20)&gt;Dashboard!$B$6,ISNUMBER(H20),ABS(H20)&gt;Dashboard!$C$6),"FLAG","")</f>
        <v/>
      </c>
    </row>
    <row r="21">
      <c r="A21">
        <f>'TB_2025'!A7</f>
        <v/>
      </c>
      <c r="B21">
        <f>'TB_2025'!B7</f>
        <v/>
      </c>
      <c r="C21">
        <f>'TB_2025'!C7</f>
        <v/>
      </c>
      <c r="D21" t="inlineStr">
        <is>
          <t>Mar</t>
        </is>
      </c>
      <c r="E21" s="7">
        <f>'TB_2025'!F7</f>
        <v/>
      </c>
      <c r="F21" s="7">
        <f>'TB_2026'!F7</f>
        <v/>
      </c>
      <c r="G21" s="7">
        <f>F21-E21</f>
        <v/>
      </c>
      <c r="H21" s="8">
        <f>IF(E21=0,"",G21/ABS(E21))</f>
        <v/>
      </c>
      <c r="I21">
        <f>IF(AND(ABS(G21)&gt;Dashboard!$B$6,ISNUMBER(H21),ABS(H21)&gt;Dashboard!$C$6),"FLAG","")</f>
        <v/>
      </c>
    </row>
    <row r="22">
      <c r="A22">
        <f>'TB_2025'!A7</f>
        <v/>
      </c>
      <c r="B22">
        <f>'TB_2025'!B7</f>
        <v/>
      </c>
      <c r="C22">
        <f>'TB_2025'!C7</f>
        <v/>
      </c>
      <c r="D22" t="inlineStr">
        <is>
          <t>Apr</t>
        </is>
      </c>
      <c r="E22" s="7">
        <f>'TB_2025'!G7</f>
        <v/>
      </c>
      <c r="F22" s="7">
        <f>'TB_2026'!G7</f>
        <v/>
      </c>
      <c r="G22" s="7">
        <f>F22-E22</f>
        <v/>
      </c>
      <c r="H22" s="8">
        <f>IF(E22=0,"",G22/ABS(E22))</f>
        <v/>
      </c>
      <c r="I22">
        <f>IF(AND(ABS(G22)&gt;Dashboard!$B$6,ISNUMBER(H22),ABS(H22)&gt;Dashboard!$C$6),"FLAG","")</f>
        <v/>
      </c>
    </row>
    <row r="23">
      <c r="A23">
        <f>'TB_2025'!A8</f>
        <v/>
      </c>
      <c r="B23">
        <f>'TB_2025'!B8</f>
        <v/>
      </c>
      <c r="C23">
        <f>'TB_2025'!C8</f>
        <v/>
      </c>
      <c r="D23" t="inlineStr">
        <is>
          <t>Jan</t>
        </is>
      </c>
      <c r="E23" s="7">
        <f>'TB_2025'!D8</f>
        <v/>
      </c>
      <c r="F23" s="7">
        <f>'TB_2026'!D8</f>
        <v/>
      </c>
      <c r="G23" s="7">
        <f>F23-E23</f>
        <v/>
      </c>
      <c r="H23" s="8">
        <f>IF(E23=0,"",G23/ABS(E23))</f>
        <v/>
      </c>
      <c r="I23">
        <f>IF(AND(ABS(G23)&gt;Dashboard!$B$6,ISNUMBER(H23),ABS(H23)&gt;Dashboard!$C$6),"FLAG","")</f>
        <v/>
      </c>
    </row>
    <row r="24">
      <c r="A24">
        <f>'TB_2025'!A8</f>
        <v/>
      </c>
      <c r="B24">
        <f>'TB_2025'!B8</f>
        <v/>
      </c>
      <c r="C24">
        <f>'TB_2025'!C8</f>
        <v/>
      </c>
      <c r="D24" t="inlineStr">
        <is>
          <t>Feb</t>
        </is>
      </c>
      <c r="E24" s="7">
        <f>'TB_2025'!E8</f>
        <v/>
      </c>
      <c r="F24" s="7">
        <f>'TB_2026'!E8</f>
        <v/>
      </c>
      <c r="G24" s="7">
        <f>F24-E24</f>
        <v/>
      </c>
      <c r="H24" s="8">
        <f>IF(E24=0,"",G24/ABS(E24))</f>
        <v/>
      </c>
      <c r="I24">
        <f>IF(AND(ABS(G24)&gt;Dashboard!$B$6,ISNUMBER(H24),ABS(H24)&gt;Dashboard!$C$6),"FLAG","")</f>
        <v/>
      </c>
    </row>
    <row r="25">
      <c r="A25">
        <f>'TB_2025'!A8</f>
        <v/>
      </c>
      <c r="B25">
        <f>'TB_2025'!B8</f>
        <v/>
      </c>
      <c r="C25">
        <f>'TB_2025'!C8</f>
        <v/>
      </c>
      <c r="D25" t="inlineStr">
        <is>
          <t>Mar</t>
        </is>
      </c>
      <c r="E25" s="7">
        <f>'TB_2025'!F8</f>
        <v/>
      </c>
      <c r="F25" s="7">
        <f>'TB_2026'!F8</f>
        <v/>
      </c>
      <c r="G25" s="7">
        <f>F25-E25</f>
        <v/>
      </c>
      <c r="H25" s="8">
        <f>IF(E25=0,"",G25/ABS(E25))</f>
        <v/>
      </c>
      <c r="I25">
        <f>IF(AND(ABS(G25)&gt;Dashboard!$B$6,ISNUMBER(H25),ABS(H25)&gt;Dashboard!$C$6),"FLAG","")</f>
        <v/>
      </c>
    </row>
    <row r="26">
      <c r="A26">
        <f>'TB_2025'!A8</f>
        <v/>
      </c>
      <c r="B26">
        <f>'TB_2025'!B8</f>
        <v/>
      </c>
      <c r="C26">
        <f>'TB_2025'!C8</f>
        <v/>
      </c>
      <c r="D26" t="inlineStr">
        <is>
          <t>Apr</t>
        </is>
      </c>
      <c r="E26" s="7">
        <f>'TB_2025'!G8</f>
        <v/>
      </c>
      <c r="F26" s="7">
        <f>'TB_2026'!G8</f>
        <v/>
      </c>
      <c r="G26" s="7">
        <f>F26-E26</f>
        <v/>
      </c>
      <c r="H26" s="8">
        <f>IF(E26=0,"",G26/ABS(E26))</f>
        <v/>
      </c>
      <c r="I26">
        <f>IF(AND(ABS(G26)&gt;Dashboard!$B$6,ISNUMBER(H26),ABS(H26)&gt;Dashboard!$C$6),"FLAG","")</f>
        <v/>
      </c>
    </row>
    <row r="27">
      <c r="A27">
        <f>'TB_2025'!A9</f>
        <v/>
      </c>
      <c r="B27">
        <f>'TB_2025'!B9</f>
        <v/>
      </c>
      <c r="C27">
        <f>'TB_2025'!C9</f>
        <v/>
      </c>
      <c r="D27" t="inlineStr">
        <is>
          <t>Jan</t>
        </is>
      </c>
      <c r="E27" s="7">
        <f>'TB_2025'!D9</f>
        <v/>
      </c>
      <c r="F27" s="7">
        <f>'TB_2026'!D9</f>
        <v/>
      </c>
      <c r="G27" s="7">
        <f>F27-E27</f>
        <v/>
      </c>
      <c r="H27" s="8">
        <f>IF(E27=0,"",G27/ABS(E27))</f>
        <v/>
      </c>
      <c r="I27">
        <f>IF(AND(ABS(G27)&gt;Dashboard!$B$6,ISNUMBER(H27),ABS(H27)&gt;Dashboard!$C$6),"FLAG","")</f>
        <v/>
      </c>
    </row>
    <row r="28">
      <c r="A28">
        <f>'TB_2025'!A9</f>
        <v/>
      </c>
      <c r="B28">
        <f>'TB_2025'!B9</f>
        <v/>
      </c>
      <c r="C28">
        <f>'TB_2025'!C9</f>
        <v/>
      </c>
      <c r="D28" t="inlineStr">
        <is>
          <t>Feb</t>
        </is>
      </c>
      <c r="E28" s="7">
        <f>'TB_2025'!E9</f>
        <v/>
      </c>
      <c r="F28" s="7">
        <f>'TB_2026'!E9</f>
        <v/>
      </c>
      <c r="G28" s="7">
        <f>F28-E28</f>
        <v/>
      </c>
      <c r="H28" s="8">
        <f>IF(E28=0,"",G28/ABS(E28))</f>
        <v/>
      </c>
      <c r="I28">
        <f>IF(AND(ABS(G28)&gt;Dashboard!$B$6,ISNUMBER(H28),ABS(H28)&gt;Dashboard!$C$6),"FLAG","")</f>
        <v/>
      </c>
    </row>
    <row r="29">
      <c r="A29">
        <f>'TB_2025'!A9</f>
        <v/>
      </c>
      <c r="B29">
        <f>'TB_2025'!B9</f>
        <v/>
      </c>
      <c r="C29">
        <f>'TB_2025'!C9</f>
        <v/>
      </c>
      <c r="D29" t="inlineStr">
        <is>
          <t>Mar</t>
        </is>
      </c>
      <c r="E29" s="7">
        <f>'TB_2025'!F9</f>
        <v/>
      </c>
      <c r="F29" s="7">
        <f>'TB_2026'!F9</f>
        <v/>
      </c>
      <c r="G29" s="7">
        <f>F29-E29</f>
        <v/>
      </c>
      <c r="H29" s="8">
        <f>IF(E29=0,"",G29/ABS(E29))</f>
        <v/>
      </c>
      <c r="I29">
        <f>IF(AND(ABS(G29)&gt;Dashboard!$B$6,ISNUMBER(H29),ABS(H29)&gt;Dashboard!$C$6),"FLAG","")</f>
        <v/>
      </c>
    </row>
    <row r="30">
      <c r="A30">
        <f>'TB_2025'!A9</f>
        <v/>
      </c>
      <c r="B30">
        <f>'TB_2025'!B9</f>
        <v/>
      </c>
      <c r="C30">
        <f>'TB_2025'!C9</f>
        <v/>
      </c>
      <c r="D30" t="inlineStr">
        <is>
          <t>Apr</t>
        </is>
      </c>
      <c r="E30" s="7">
        <f>'TB_2025'!G9</f>
        <v/>
      </c>
      <c r="F30" s="7">
        <f>'TB_2026'!G9</f>
        <v/>
      </c>
      <c r="G30" s="7">
        <f>F30-E30</f>
        <v/>
      </c>
      <c r="H30" s="8">
        <f>IF(E30=0,"",G30/ABS(E30))</f>
        <v/>
      </c>
      <c r="I30">
        <f>IF(AND(ABS(G30)&gt;Dashboard!$B$6,ISNUMBER(H30),ABS(H30)&gt;Dashboard!$C$6),"FLAG","")</f>
        <v/>
      </c>
    </row>
    <row r="31">
      <c r="A31">
        <f>'TB_2025'!A10</f>
        <v/>
      </c>
      <c r="B31">
        <f>'TB_2025'!B10</f>
        <v/>
      </c>
      <c r="C31">
        <f>'TB_2025'!C10</f>
        <v/>
      </c>
      <c r="D31" t="inlineStr">
        <is>
          <t>Jan</t>
        </is>
      </c>
      <c r="E31" s="7">
        <f>'TB_2025'!D10</f>
        <v/>
      </c>
      <c r="F31" s="7">
        <f>'TB_2026'!D10</f>
        <v/>
      </c>
      <c r="G31" s="7">
        <f>F31-E31</f>
        <v/>
      </c>
      <c r="H31" s="8">
        <f>IF(E31=0,"",G31/ABS(E31))</f>
        <v/>
      </c>
      <c r="I31">
        <f>IF(AND(ABS(G31)&gt;Dashboard!$B$6,ISNUMBER(H31),ABS(H31)&gt;Dashboard!$C$6),"FLAG","")</f>
        <v/>
      </c>
    </row>
    <row r="32">
      <c r="A32">
        <f>'TB_2025'!A10</f>
        <v/>
      </c>
      <c r="B32">
        <f>'TB_2025'!B10</f>
        <v/>
      </c>
      <c r="C32">
        <f>'TB_2025'!C10</f>
        <v/>
      </c>
      <c r="D32" t="inlineStr">
        <is>
          <t>Feb</t>
        </is>
      </c>
      <c r="E32" s="7">
        <f>'TB_2025'!E10</f>
        <v/>
      </c>
      <c r="F32" s="7">
        <f>'TB_2026'!E10</f>
        <v/>
      </c>
      <c r="G32" s="7">
        <f>F32-E32</f>
        <v/>
      </c>
      <c r="H32" s="8">
        <f>IF(E32=0,"",G32/ABS(E32))</f>
        <v/>
      </c>
      <c r="I32">
        <f>IF(AND(ABS(G32)&gt;Dashboard!$B$6,ISNUMBER(H32),ABS(H32)&gt;Dashboard!$C$6),"FLAG","")</f>
        <v/>
      </c>
    </row>
    <row r="33">
      <c r="A33">
        <f>'TB_2025'!A10</f>
        <v/>
      </c>
      <c r="B33">
        <f>'TB_2025'!B10</f>
        <v/>
      </c>
      <c r="C33">
        <f>'TB_2025'!C10</f>
        <v/>
      </c>
      <c r="D33" t="inlineStr">
        <is>
          <t>Mar</t>
        </is>
      </c>
      <c r="E33" s="7">
        <f>'TB_2025'!F10</f>
        <v/>
      </c>
      <c r="F33" s="7">
        <f>'TB_2026'!F10</f>
        <v/>
      </c>
      <c r="G33" s="7">
        <f>F33-E33</f>
        <v/>
      </c>
      <c r="H33" s="8">
        <f>IF(E33=0,"",G33/ABS(E33))</f>
        <v/>
      </c>
      <c r="I33">
        <f>IF(AND(ABS(G33)&gt;Dashboard!$B$6,ISNUMBER(H33),ABS(H33)&gt;Dashboard!$C$6),"FLAG","")</f>
        <v/>
      </c>
    </row>
    <row r="34">
      <c r="A34">
        <f>'TB_2025'!A10</f>
        <v/>
      </c>
      <c r="B34">
        <f>'TB_2025'!B10</f>
        <v/>
      </c>
      <c r="C34">
        <f>'TB_2025'!C10</f>
        <v/>
      </c>
      <c r="D34" t="inlineStr">
        <is>
          <t>Apr</t>
        </is>
      </c>
      <c r="E34" s="7">
        <f>'TB_2025'!G10</f>
        <v/>
      </c>
      <c r="F34" s="7">
        <f>'TB_2026'!G10</f>
        <v/>
      </c>
      <c r="G34" s="7">
        <f>F34-E34</f>
        <v/>
      </c>
      <c r="H34" s="8">
        <f>IF(E34=0,"",G34/ABS(E34))</f>
        <v/>
      </c>
      <c r="I34">
        <f>IF(AND(ABS(G34)&gt;Dashboard!$B$6,ISNUMBER(H34),ABS(H34)&gt;Dashboard!$C$6),"FLAG","")</f>
        <v/>
      </c>
    </row>
    <row r="35">
      <c r="A35">
        <f>'TB_2025'!A11</f>
        <v/>
      </c>
      <c r="B35">
        <f>'TB_2025'!B11</f>
        <v/>
      </c>
      <c r="C35">
        <f>'TB_2025'!C11</f>
        <v/>
      </c>
      <c r="D35" t="inlineStr">
        <is>
          <t>Jan</t>
        </is>
      </c>
      <c r="E35" s="7">
        <f>'TB_2025'!D11</f>
        <v/>
      </c>
      <c r="F35" s="7">
        <f>'TB_2026'!D11</f>
        <v/>
      </c>
      <c r="G35" s="7">
        <f>F35-E35</f>
        <v/>
      </c>
      <c r="H35" s="8">
        <f>IF(E35=0,"",G35/ABS(E35))</f>
        <v/>
      </c>
      <c r="I35">
        <f>IF(AND(ABS(G35)&gt;Dashboard!$B$6,ISNUMBER(H35),ABS(H35)&gt;Dashboard!$C$6),"FLAG","")</f>
        <v/>
      </c>
    </row>
    <row r="36">
      <c r="A36">
        <f>'TB_2025'!A11</f>
        <v/>
      </c>
      <c r="B36">
        <f>'TB_2025'!B11</f>
        <v/>
      </c>
      <c r="C36">
        <f>'TB_2025'!C11</f>
        <v/>
      </c>
      <c r="D36" t="inlineStr">
        <is>
          <t>Feb</t>
        </is>
      </c>
      <c r="E36" s="7">
        <f>'TB_2025'!E11</f>
        <v/>
      </c>
      <c r="F36" s="7">
        <f>'TB_2026'!E11</f>
        <v/>
      </c>
      <c r="G36" s="7">
        <f>F36-E36</f>
        <v/>
      </c>
      <c r="H36" s="8">
        <f>IF(E36=0,"",G36/ABS(E36))</f>
        <v/>
      </c>
      <c r="I36">
        <f>IF(AND(ABS(G36)&gt;Dashboard!$B$6,ISNUMBER(H36),ABS(H36)&gt;Dashboard!$C$6),"FLAG","")</f>
        <v/>
      </c>
    </row>
    <row r="37">
      <c r="A37">
        <f>'TB_2025'!A11</f>
        <v/>
      </c>
      <c r="B37">
        <f>'TB_2025'!B11</f>
        <v/>
      </c>
      <c r="C37">
        <f>'TB_2025'!C11</f>
        <v/>
      </c>
      <c r="D37" t="inlineStr">
        <is>
          <t>Mar</t>
        </is>
      </c>
      <c r="E37" s="7">
        <f>'TB_2025'!F11</f>
        <v/>
      </c>
      <c r="F37" s="7">
        <f>'TB_2026'!F11</f>
        <v/>
      </c>
      <c r="G37" s="7">
        <f>F37-E37</f>
        <v/>
      </c>
      <c r="H37" s="8">
        <f>IF(E37=0,"",G37/ABS(E37))</f>
        <v/>
      </c>
      <c r="I37">
        <f>IF(AND(ABS(G37)&gt;Dashboard!$B$6,ISNUMBER(H37),ABS(H37)&gt;Dashboard!$C$6),"FLAG","")</f>
        <v/>
      </c>
    </row>
    <row r="38">
      <c r="A38">
        <f>'TB_2025'!A11</f>
        <v/>
      </c>
      <c r="B38">
        <f>'TB_2025'!B11</f>
        <v/>
      </c>
      <c r="C38">
        <f>'TB_2025'!C11</f>
        <v/>
      </c>
      <c r="D38" t="inlineStr">
        <is>
          <t>Apr</t>
        </is>
      </c>
      <c r="E38" s="7">
        <f>'TB_2025'!G11</f>
        <v/>
      </c>
      <c r="F38" s="7">
        <f>'TB_2026'!G11</f>
        <v/>
      </c>
      <c r="G38" s="7">
        <f>F38-E38</f>
        <v/>
      </c>
      <c r="H38" s="8">
        <f>IF(E38=0,"",G38/ABS(E38))</f>
        <v/>
      </c>
      <c r="I38">
        <f>IF(AND(ABS(G38)&gt;Dashboard!$B$6,ISNUMBER(H38),ABS(H38)&gt;Dashboard!$C$6),"FLAG","")</f>
        <v/>
      </c>
    </row>
    <row r="39">
      <c r="A39">
        <f>'TB_2025'!A12</f>
        <v/>
      </c>
      <c r="B39">
        <f>'TB_2025'!B12</f>
        <v/>
      </c>
      <c r="C39">
        <f>'TB_2025'!C12</f>
        <v/>
      </c>
      <c r="D39" t="inlineStr">
        <is>
          <t>Jan</t>
        </is>
      </c>
      <c r="E39" s="7">
        <f>'TB_2025'!D12</f>
        <v/>
      </c>
      <c r="F39" s="7">
        <f>'TB_2026'!D12</f>
        <v/>
      </c>
      <c r="G39" s="7">
        <f>F39-E39</f>
        <v/>
      </c>
      <c r="H39" s="8">
        <f>IF(E39=0,"",G39/ABS(E39))</f>
        <v/>
      </c>
      <c r="I39">
        <f>IF(AND(ABS(G39)&gt;Dashboard!$B$6,ISNUMBER(H39),ABS(H39)&gt;Dashboard!$C$6),"FLAG","")</f>
        <v/>
      </c>
    </row>
    <row r="40">
      <c r="A40">
        <f>'TB_2025'!A12</f>
        <v/>
      </c>
      <c r="B40">
        <f>'TB_2025'!B12</f>
        <v/>
      </c>
      <c r="C40">
        <f>'TB_2025'!C12</f>
        <v/>
      </c>
      <c r="D40" t="inlineStr">
        <is>
          <t>Feb</t>
        </is>
      </c>
      <c r="E40" s="7">
        <f>'TB_2025'!E12</f>
        <v/>
      </c>
      <c r="F40" s="7">
        <f>'TB_2026'!E12</f>
        <v/>
      </c>
      <c r="G40" s="7">
        <f>F40-E40</f>
        <v/>
      </c>
      <c r="H40" s="8">
        <f>IF(E40=0,"",G40/ABS(E40))</f>
        <v/>
      </c>
      <c r="I40">
        <f>IF(AND(ABS(G40)&gt;Dashboard!$B$6,ISNUMBER(H40),ABS(H40)&gt;Dashboard!$C$6),"FLAG","")</f>
        <v/>
      </c>
    </row>
    <row r="41">
      <c r="A41">
        <f>'TB_2025'!A12</f>
        <v/>
      </c>
      <c r="B41">
        <f>'TB_2025'!B12</f>
        <v/>
      </c>
      <c r="C41">
        <f>'TB_2025'!C12</f>
        <v/>
      </c>
      <c r="D41" t="inlineStr">
        <is>
          <t>Mar</t>
        </is>
      </c>
      <c r="E41" s="7">
        <f>'TB_2025'!F12</f>
        <v/>
      </c>
      <c r="F41" s="7">
        <f>'TB_2026'!F12</f>
        <v/>
      </c>
      <c r="G41" s="7">
        <f>F41-E41</f>
        <v/>
      </c>
      <c r="H41" s="8">
        <f>IF(E41=0,"",G41/ABS(E41))</f>
        <v/>
      </c>
      <c r="I41">
        <f>IF(AND(ABS(G41)&gt;Dashboard!$B$6,ISNUMBER(H41),ABS(H41)&gt;Dashboard!$C$6),"FLAG","")</f>
        <v/>
      </c>
    </row>
    <row r="42">
      <c r="A42">
        <f>'TB_2025'!A12</f>
        <v/>
      </c>
      <c r="B42">
        <f>'TB_2025'!B12</f>
        <v/>
      </c>
      <c r="C42">
        <f>'TB_2025'!C12</f>
        <v/>
      </c>
      <c r="D42" t="inlineStr">
        <is>
          <t>Apr</t>
        </is>
      </c>
      <c r="E42" s="7">
        <f>'TB_2025'!G12</f>
        <v/>
      </c>
      <c r="F42" s="7">
        <f>'TB_2026'!G12</f>
        <v/>
      </c>
      <c r="G42" s="7">
        <f>F42-E42</f>
        <v/>
      </c>
      <c r="H42" s="8">
        <f>IF(E42=0,"",G42/ABS(E42))</f>
        <v/>
      </c>
      <c r="I42">
        <f>IF(AND(ABS(G42)&gt;Dashboard!$B$6,ISNUMBER(H42),ABS(H42)&gt;Dashboard!$C$6),"FLAG","")</f>
        <v/>
      </c>
    </row>
    <row r="43">
      <c r="A43">
        <f>'TB_2025'!A13</f>
        <v/>
      </c>
      <c r="B43">
        <f>'TB_2025'!B13</f>
        <v/>
      </c>
      <c r="C43">
        <f>'TB_2025'!C13</f>
        <v/>
      </c>
      <c r="D43" t="inlineStr">
        <is>
          <t>Jan</t>
        </is>
      </c>
      <c r="E43" s="7">
        <f>'TB_2025'!D13</f>
        <v/>
      </c>
      <c r="F43" s="7">
        <f>'TB_2026'!D13</f>
        <v/>
      </c>
      <c r="G43" s="7">
        <f>F43-E43</f>
        <v/>
      </c>
      <c r="H43" s="8">
        <f>IF(E43=0,"",G43/ABS(E43))</f>
        <v/>
      </c>
      <c r="I43">
        <f>IF(AND(ABS(G43)&gt;Dashboard!$B$6,ISNUMBER(H43),ABS(H43)&gt;Dashboard!$C$6),"FLAG","")</f>
        <v/>
      </c>
    </row>
    <row r="44">
      <c r="A44">
        <f>'TB_2025'!A13</f>
        <v/>
      </c>
      <c r="B44">
        <f>'TB_2025'!B13</f>
        <v/>
      </c>
      <c r="C44">
        <f>'TB_2025'!C13</f>
        <v/>
      </c>
      <c r="D44" t="inlineStr">
        <is>
          <t>Feb</t>
        </is>
      </c>
      <c r="E44" s="7">
        <f>'TB_2025'!E13</f>
        <v/>
      </c>
      <c r="F44" s="7">
        <f>'TB_2026'!E13</f>
        <v/>
      </c>
      <c r="G44" s="7">
        <f>F44-E44</f>
        <v/>
      </c>
      <c r="H44" s="8">
        <f>IF(E44=0,"",G44/ABS(E44))</f>
        <v/>
      </c>
      <c r="I44">
        <f>IF(AND(ABS(G44)&gt;Dashboard!$B$6,ISNUMBER(H44),ABS(H44)&gt;Dashboard!$C$6),"FLAG","")</f>
        <v/>
      </c>
    </row>
    <row r="45">
      <c r="A45">
        <f>'TB_2025'!A13</f>
        <v/>
      </c>
      <c r="B45">
        <f>'TB_2025'!B13</f>
        <v/>
      </c>
      <c r="C45">
        <f>'TB_2025'!C13</f>
        <v/>
      </c>
      <c r="D45" t="inlineStr">
        <is>
          <t>Mar</t>
        </is>
      </c>
      <c r="E45" s="7">
        <f>'TB_2025'!F13</f>
        <v/>
      </c>
      <c r="F45" s="7">
        <f>'TB_2026'!F13</f>
        <v/>
      </c>
      <c r="G45" s="7">
        <f>F45-E45</f>
        <v/>
      </c>
      <c r="H45" s="8">
        <f>IF(E45=0,"",G45/ABS(E45))</f>
        <v/>
      </c>
      <c r="I45">
        <f>IF(AND(ABS(G45)&gt;Dashboard!$B$6,ISNUMBER(H45),ABS(H45)&gt;Dashboard!$C$6),"FLAG","")</f>
        <v/>
      </c>
    </row>
    <row r="46">
      <c r="A46">
        <f>'TB_2025'!A13</f>
        <v/>
      </c>
      <c r="B46">
        <f>'TB_2025'!B13</f>
        <v/>
      </c>
      <c r="C46">
        <f>'TB_2025'!C13</f>
        <v/>
      </c>
      <c r="D46" t="inlineStr">
        <is>
          <t>Apr</t>
        </is>
      </c>
      <c r="E46" s="7">
        <f>'TB_2025'!G13</f>
        <v/>
      </c>
      <c r="F46" s="7">
        <f>'TB_2026'!G13</f>
        <v/>
      </c>
      <c r="G46" s="7">
        <f>F46-E46</f>
        <v/>
      </c>
      <c r="H46" s="8">
        <f>IF(E46=0,"",G46/ABS(E46))</f>
        <v/>
      </c>
      <c r="I46">
        <f>IF(AND(ABS(G46)&gt;Dashboard!$B$6,ISNUMBER(H46),ABS(H46)&gt;Dashboard!$C$6),"FLAG","")</f>
        <v/>
      </c>
    </row>
    <row r="47">
      <c r="A47">
        <f>'TB_2025'!A14</f>
        <v/>
      </c>
      <c r="B47">
        <f>'TB_2025'!B14</f>
        <v/>
      </c>
      <c r="C47">
        <f>'TB_2025'!C14</f>
        <v/>
      </c>
      <c r="D47" t="inlineStr">
        <is>
          <t>Jan</t>
        </is>
      </c>
      <c r="E47" s="7">
        <f>'TB_2025'!D14</f>
        <v/>
      </c>
      <c r="F47" s="7">
        <f>'TB_2026'!D14</f>
        <v/>
      </c>
      <c r="G47" s="7">
        <f>F47-E47</f>
        <v/>
      </c>
      <c r="H47" s="8">
        <f>IF(E47=0,"",G47/ABS(E47))</f>
        <v/>
      </c>
      <c r="I47">
        <f>IF(AND(ABS(G47)&gt;Dashboard!$B$6,ISNUMBER(H47),ABS(H47)&gt;Dashboard!$C$6),"FLAG","")</f>
        <v/>
      </c>
    </row>
    <row r="48">
      <c r="A48">
        <f>'TB_2025'!A14</f>
        <v/>
      </c>
      <c r="B48">
        <f>'TB_2025'!B14</f>
        <v/>
      </c>
      <c r="C48">
        <f>'TB_2025'!C14</f>
        <v/>
      </c>
      <c r="D48" t="inlineStr">
        <is>
          <t>Feb</t>
        </is>
      </c>
      <c r="E48" s="7">
        <f>'TB_2025'!E14</f>
        <v/>
      </c>
      <c r="F48" s="7">
        <f>'TB_2026'!E14</f>
        <v/>
      </c>
      <c r="G48" s="7">
        <f>F48-E48</f>
        <v/>
      </c>
      <c r="H48" s="8">
        <f>IF(E48=0,"",G48/ABS(E48))</f>
        <v/>
      </c>
      <c r="I48">
        <f>IF(AND(ABS(G48)&gt;Dashboard!$B$6,ISNUMBER(H48),ABS(H48)&gt;Dashboard!$C$6),"FLAG","")</f>
        <v/>
      </c>
    </row>
    <row r="49">
      <c r="A49">
        <f>'TB_2025'!A14</f>
        <v/>
      </c>
      <c r="B49">
        <f>'TB_2025'!B14</f>
        <v/>
      </c>
      <c r="C49">
        <f>'TB_2025'!C14</f>
        <v/>
      </c>
      <c r="D49" t="inlineStr">
        <is>
          <t>Mar</t>
        </is>
      </c>
      <c r="E49" s="7">
        <f>'TB_2025'!F14</f>
        <v/>
      </c>
      <c r="F49" s="7">
        <f>'TB_2026'!F14</f>
        <v/>
      </c>
      <c r="G49" s="7">
        <f>F49-E49</f>
        <v/>
      </c>
      <c r="H49" s="8">
        <f>IF(E49=0,"",G49/ABS(E49))</f>
        <v/>
      </c>
      <c r="I49">
        <f>IF(AND(ABS(G49)&gt;Dashboard!$B$6,ISNUMBER(H49),ABS(H49)&gt;Dashboard!$C$6),"FLAG","")</f>
        <v/>
      </c>
    </row>
    <row r="50">
      <c r="A50">
        <f>'TB_2025'!A14</f>
        <v/>
      </c>
      <c r="B50">
        <f>'TB_2025'!B14</f>
        <v/>
      </c>
      <c r="C50">
        <f>'TB_2025'!C14</f>
        <v/>
      </c>
      <c r="D50" t="inlineStr">
        <is>
          <t>Apr</t>
        </is>
      </c>
      <c r="E50" s="7">
        <f>'TB_2025'!G14</f>
        <v/>
      </c>
      <c r="F50" s="7">
        <f>'TB_2026'!G14</f>
        <v/>
      </c>
      <c r="G50" s="7">
        <f>F50-E50</f>
        <v/>
      </c>
      <c r="H50" s="8">
        <f>IF(E50=0,"",G50/ABS(E50))</f>
        <v/>
      </c>
      <c r="I50">
        <f>IF(AND(ABS(G50)&gt;Dashboard!$B$6,ISNUMBER(H50),ABS(H50)&gt;Dashboard!$C$6),"FLAG","")</f>
        <v/>
      </c>
    </row>
    <row r="51">
      <c r="A51">
        <f>'TB_2025'!A15</f>
        <v/>
      </c>
      <c r="B51">
        <f>'TB_2025'!B15</f>
        <v/>
      </c>
      <c r="C51">
        <f>'TB_2025'!C15</f>
        <v/>
      </c>
      <c r="D51" t="inlineStr">
        <is>
          <t>Jan</t>
        </is>
      </c>
      <c r="E51" s="7">
        <f>'TB_2025'!D15</f>
        <v/>
      </c>
      <c r="F51" s="7">
        <f>'TB_2026'!D15</f>
        <v/>
      </c>
      <c r="G51" s="7">
        <f>F51-E51</f>
        <v/>
      </c>
      <c r="H51" s="8">
        <f>IF(E51=0,"",G51/ABS(E51))</f>
        <v/>
      </c>
      <c r="I51">
        <f>IF(AND(ABS(G51)&gt;Dashboard!$B$6,ISNUMBER(H51),ABS(H51)&gt;Dashboard!$C$6),"FLAG","")</f>
        <v/>
      </c>
    </row>
    <row r="52">
      <c r="A52">
        <f>'TB_2025'!A15</f>
        <v/>
      </c>
      <c r="B52">
        <f>'TB_2025'!B15</f>
        <v/>
      </c>
      <c r="C52">
        <f>'TB_2025'!C15</f>
        <v/>
      </c>
      <c r="D52" t="inlineStr">
        <is>
          <t>Feb</t>
        </is>
      </c>
      <c r="E52" s="7">
        <f>'TB_2025'!E15</f>
        <v/>
      </c>
      <c r="F52" s="7">
        <f>'TB_2026'!E15</f>
        <v/>
      </c>
      <c r="G52" s="7">
        <f>F52-E52</f>
        <v/>
      </c>
      <c r="H52" s="8">
        <f>IF(E52=0,"",G52/ABS(E52))</f>
        <v/>
      </c>
      <c r="I52">
        <f>IF(AND(ABS(G52)&gt;Dashboard!$B$6,ISNUMBER(H52),ABS(H52)&gt;Dashboard!$C$6),"FLAG","")</f>
        <v/>
      </c>
    </row>
    <row r="53">
      <c r="A53">
        <f>'TB_2025'!A15</f>
        <v/>
      </c>
      <c r="B53">
        <f>'TB_2025'!B15</f>
        <v/>
      </c>
      <c r="C53">
        <f>'TB_2025'!C15</f>
        <v/>
      </c>
      <c r="D53" t="inlineStr">
        <is>
          <t>Mar</t>
        </is>
      </c>
      <c r="E53" s="7">
        <f>'TB_2025'!F15</f>
        <v/>
      </c>
      <c r="F53" s="7">
        <f>'TB_2026'!F15</f>
        <v/>
      </c>
      <c r="G53" s="7">
        <f>F53-E53</f>
        <v/>
      </c>
      <c r="H53" s="8">
        <f>IF(E53=0,"",G53/ABS(E53))</f>
        <v/>
      </c>
      <c r="I53">
        <f>IF(AND(ABS(G53)&gt;Dashboard!$B$6,ISNUMBER(H53),ABS(H53)&gt;Dashboard!$C$6),"FLAG","")</f>
        <v/>
      </c>
    </row>
    <row r="54">
      <c r="A54">
        <f>'TB_2025'!A15</f>
        <v/>
      </c>
      <c r="B54">
        <f>'TB_2025'!B15</f>
        <v/>
      </c>
      <c r="C54">
        <f>'TB_2025'!C15</f>
        <v/>
      </c>
      <c r="D54" t="inlineStr">
        <is>
          <t>Apr</t>
        </is>
      </c>
      <c r="E54" s="7">
        <f>'TB_2025'!G15</f>
        <v/>
      </c>
      <c r="F54" s="7">
        <f>'TB_2026'!G15</f>
        <v/>
      </c>
      <c r="G54" s="7">
        <f>F54-E54</f>
        <v/>
      </c>
      <c r="H54" s="8">
        <f>IF(E54=0,"",G54/ABS(E54))</f>
        <v/>
      </c>
      <c r="I54">
        <f>IF(AND(ABS(G54)&gt;Dashboard!$B$6,ISNUMBER(H54),ABS(H54)&gt;Dashboard!$C$6),"FLAG","")</f>
        <v/>
      </c>
    </row>
    <row r="55">
      <c r="A55">
        <f>'TB_2025'!A16</f>
        <v/>
      </c>
      <c r="B55">
        <f>'TB_2025'!B16</f>
        <v/>
      </c>
      <c r="C55">
        <f>'TB_2025'!C16</f>
        <v/>
      </c>
      <c r="D55" t="inlineStr">
        <is>
          <t>Jan</t>
        </is>
      </c>
      <c r="E55" s="7">
        <f>'TB_2025'!D16</f>
        <v/>
      </c>
      <c r="F55" s="7">
        <f>'TB_2026'!D16</f>
        <v/>
      </c>
      <c r="G55" s="7">
        <f>F55-E55</f>
        <v/>
      </c>
      <c r="H55" s="8">
        <f>IF(E55=0,"",G55/ABS(E55))</f>
        <v/>
      </c>
      <c r="I55">
        <f>IF(AND(ABS(G55)&gt;Dashboard!$B$6,ISNUMBER(H55),ABS(H55)&gt;Dashboard!$C$6),"FLAG","")</f>
        <v/>
      </c>
    </row>
    <row r="56">
      <c r="A56">
        <f>'TB_2025'!A16</f>
        <v/>
      </c>
      <c r="B56">
        <f>'TB_2025'!B16</f>
        <v/>
      </c>
      <c r="C56">
        <f>'TB_2025'!C16</f>
        <v/>
      </c>
      <c r="D56" t="inlineStr">
        <is>
          <t>Feb</t>
        </is>
      </c>
      <c r="E56" s="7">
        <f>'TB_2025'!E16</f>
        <v/>
      </c>
      <c r="F56" s="7">
        <f>'TB_2026'!E16</f>
        <v/>
      </c>
      <c r="G56" s="7">
        <f>F56-E56</f>
        <v/>
      </c>
      <c r="H56" s="8">
        <f>IF(E56=0,"",G56/ABS(E56))</f>
        <v/>
      </c>
      <c r="I56">
        <f>IF(AND(ABS(G56)&gt;Dashboard!$B$6,ISNUMBER(H56),ABS(H56)&gt;Dashboard!$C$6),"FLAG","")</f>
        <v/>
      </c>
    </row>
    <row r="57">
      <c r="A57">
        <f>'TB_2025'!A16</f>
        <v/>
      </c>
      <c r="B57">
        <f>'TB_2025'!B16</f>
        <v/>
      </c>
      <c r="C57">
        <f>'TB_2025'!C16</f>
        <v/>
      </c>
      <c r="D57" t="inlineStr">
        <is>
          <t>Mar</t>
        </is>
      </c>
      <c r="E57" s="7">
        <f>'TB_2025'!F16</f>
        <v/>
      </c>
      <c r="F57" s="7">
        <f>'TB_2026'!F16</f>
        <v/>
      </c>
      <c r="G57" s="7">
        <f>F57-E57</f>
        <v/>
      </c>
      <c r="H57" s="8">
        <f>IF(E57=0,"",G57/ABS(E57))</f>
        <v/>
      </c>
      <c r="I57">
        <f>IF(AND(ABS(G57)&gt;Dashboard!$B$6,ISNUMBER(H57),ABS(H57)&gt;Dashboard!$C$6),"FLAG","")</f>
        <v/>
      </c>
    </row>
    <row r="58">
      <c r="A58">
        <f>'TB_2025'!A16</f>
        <v/>
      </c>
      <c r="B58">
        <f>'TB_2025'!B16</f>
        <v/>
      </c>
      <c r="C58">
        <f>'TB_2025'!C16</f>
        <v/>
      </c>
      <c r="D58" t="inlineStr">
        <is>
          <t>Apr</t>
        </is>
      </c>
      <c r="E58" s="7">
        <f>'TB_2025'!G16</f>
        <v/>
      </c>
      <c r="F58" s="7">
        <f>'TB_2026'!G16</f>
        <v/>
      </c>
      <c r="G58" s="7">
        <f>F58-E58</f>
        <v/>
      </c>
      <c r="H58" s="8">
        <f>IF(E58=0,"",G58/ABS(E58))</f>
        <v/>
      </c>
      <c r="I58">
        <f>IF(AND(ABS(G58)&gt;Dashboard!$B$6,ISNUMBER(H58),ABS(H58)&gt;Dashboard!$C$6),"FLAG","")</f>
        <v/>
      </c>
    </row>
    <row r="59">
      <c r="A59">
        <f>'TB_2025'!A17</f>
        <v/>
      </c>
      <c r="B59">
        <f>'TB_2025'!B17</f>
        <v/>
      </c>
      <c r="C59">
        <f>'TB_2025'!C17</f>
        <v/>
      </c>
      <c r="D59" t="inlineStr">
        <is>
          <t>Jan</t>
        </is>
      </c>
      <c r="E59" s="7">
        <f>'TB_2025'!D17</f>
        <v/>
      </c>
      <c r="F59" s="7">
        <f>'TB_2026'!D17</f>
        <v/>
      </c>
      <c r="G59" s="7">
        <f>F59-E59</f>
        <v/>
      </c>
      <c r="H59" s="8">
        <f>IF(E59=0,"",G59/ABS(E59))</f>
        <v/>
      </c>
      <c r="I59">
        <f>IF(AND(ABS(G59)&gt;Dashboard!$B$6,ISNUMBER(H59),ABS(H59)&gt;Dashboard!$C$6),"FLAG","")</f>
        <v/>
      </c>
    </row>
    <row r="60">
      <c r="A60">
        <f>'TB_2025'!A17</f>
        <v/>
      </c>
      <c r="B60">
        <f>'TB_2025'!B17</f>
        <v/>
      </c>
      <c r="C60">
        <f>'TB_2025'!C17</f>
        <v/>
      </c>
      <c r="D60" t="inlineStr">
        <is>
          <t>Feb</t>
        </is>
      </c>
      <c r="E60" s="7">
        <f>'TB_2025'!E17</f>
        <v/>
      </c>
      <c r="F60" s="7">
        <f>'TB_2026'!E17</f>
        <v/>
      </c>
      <c r="G60" s="7">
        <f>F60-E60</f>
        <v/>
      </c>
      <c r="H60" s="8">
        <f>IF(E60=0,"",G60/ABS(E60))</f>
        <v/>
      </c>
      <c r="I60">
        <f>IF(AND(ABS(G60)&gt;Dashboard!$B$6,ISNUMBER(H60),ABS(H60)&gt;Dashboard!$C$6),"FLAG","")</f>
        <v/>
      </c>
    </row>
    <row r="61">
      <c r="A61">
        <f>'TB_2025'!A17</f>
        <v/>
      </c>
      <c r="B61">
        <f>'TB_2025'!B17</f>
        <v/>
      </c>
      <c r="C61">
        <f>'TB_2025'!C17</f>
        <v/>
      </c>
      <c r="D61" t="inlineStr">
        <is>
          <t>Mar</t>
        </is>
      </c>
      <c r="E61" s="7">
        <f>'TB_2025'!F17</f>
        <v/>
      </c>
      <c r="F61" s="7">
        <f>'TB_2026'!F17</f>
        <v/>
      </c>
      <c r="G61" s="7">
        <f>F61-E61</f>
        <v/>
      </c>
      <c r="H61" s="8">
        <f>IF(E61=0,"",G61/ABS(E61))</f>
        <v/>
      </c>
      <c r="I61">
        <f>IF(AND(ABS(G61)&gt;Dashboard!$B$6,ISNUMBER(H61),ABS(H61)&gt;Dashboard!$C$6),"FLAG","")</f>
        <v/>
      </c>
    </row>
    <row r="62">
      <c r="A62">
        <f>'TB_2025'!A17</f>
        <v/>
      </c>
      <c r="B62">
        <f>'TB_2025'!B17</f>
        <v/>
      </c>
      <c r="C62">
        <f>'TB_2025'!C17</f>
        <v/>
      </c>
      <c r="D62" t="inlineStr">
        <is>
          <t>Apr</t>
        </is>
      </c>
      <c r="E62" s="7">
        <f>'TB_2025'!G17</f>
        <v/>
      </c>
      <c r="F62" s="7">
        <f>'TB_2026'!G17</f>
        <v/>
      </c>
      <c r="G62" s="7">
        <f>F62-E62</f>
        <v/>
      </c>
      <c r="H62" s="8">
        <f>IF(E62=0,"",G62/ABS(E62))</f>
        <v/>
      </c>
      <c r="I62">
        <f>IF(AND(ABS(G62)&gt;Dashboard!$B$6,ISNUMBER(H62),ABS(H62)&gt;Dashboard!$C$6),"FLAG","")</f>
        <v/>
      </c>
    </row>
    <row r="63">
      <c r="A63">
        <f>'TB_2025'!A18</f>
        <v/>
      </c>
      <c r="B63">
        <f>'TB_2025'!B18</f>
        <v/>
      </c>
      <c r="C63">
        <f>'TB_2025'!C18</f>
        <v/>
      </c>
      <c r="D63" t="inlineStr">
        <is>
          <t>Jan</t>
        </is>
      </c>
      <c r="E63" s="7">
        <f>'TB_2025'!D18</f>
        <v/>
      </c>
      <c r="F63" s="7">
        <f>'TB_2026'!D18</f>
        <v/>
      </c>
      <c r="G63" s="7">
        <f>F63-E63</f>
        <v/>
      </c>
      <c r="H63" s="8">
        <f>IF(E63=0,"",G63/ABS(E63))</f>
        <v/>
      </c>
      <c r="I63">
        <f>IF(AND(ABS(G63)&gt;Dashboard!$B$6,ISNUMBER(H63),ABS(H63)&gt;Dashboard!$C$6),"FLAG","")</f>
        <v/>
      </c>
    </row>
    <row r="64">
      <c r="A64">
        <f>'TB_2025'!A18</f>
        <v/>
      </c>
      <c r="B64">
        <f>'TB_2025'!B18</f>
        <v/>
      </c>
      <c r="C64">
        <f>'TB_2025'!C18</f>
        <v/>
      </c>
      <c r="D64" t="inlineStr">
        <is>
          <t>Feb</t>
        </is>
      </c>
      <c r="E64" s="7">
        <f>'TB_2025'!E18</f>
        <v/>
      </c>
      <c r="F64" s="7">
        <f>'TB_2026'!E18</f>
        <v/>
      </c>
      <c r="G64" s="7">
        <f>F64-E64</f>
        <v/>
      </c>
      <c r="H64" s="8">
        <f>IF(E64=0,"",G64/ABS(E64))</f>
        <v/>
      </c>
      <c r="I64">
        <f>IF(AND(ABS(G64)&gt;Dashboard!$B$6,ISNUMBER(H64),ABS(H64)&gt;Dashboard!$C$6),"FLAG","")</f>
        <v/>
      </c>
    </row>
    <row r="65">
      <c r="A65">
        <f>'TB_2025'!A18</f>
        <v/>
      </c>
      <c r="B65">
        <f>'TB_2025'!B18</f>
        <v/>
      </c>
      <c r="C65">
        <f>'TB_2025'!C18</f>
        <v/>
      </c>
      <c r="D65" t="inlineStr">
        <is>
          <t>Mar</t>
        </is>
      </c>
      <c r="E65" s="7">
        <f>'TB_2025'!F18</f>
        <v/>
      </c>
      <c r="F65" s="7">
        <f>'TB_2026'!F18</f>
        <v/>
      </c>
      <c r="G65" s="7">
        <f>F65-E65</f>
        <v/>
      </c>
      <c r="H65" s="8">
        <f>IF(E65=0,"",G65/ABS(E65))</f>
        <v/>
      </c>
      <c r="I65">
        <f>IF(AND(ABS(G65)&gt;Dashboard!$B$6,ISNUMBER(H65),ABS(H65)&gt;Dashboard!$C$6),"FLAG","")</f>
        <v/>
      </c>
    </row>
    <row r="66">
      <c r="A66">
        <f>'TB_2025'!A18</f>
        <v/>
      </c>
      <c r="B66">
        <f>'TB_2025'!B18</f>
        <v/>
      </c>
      <c r="C66">
        <f>'TB_2025'!C18</f>
        <v/>
      </c>
      <c r="D66" t="inlineStr">
        <is>
          <t>Apr</t>
        </is>
      </c>
      <c r="E66" s="7">
        <f>'TB_2025'!G18</f>
        <v/>
      </c>
      <c r="F66" s="7">
        <f>'TB_2026'!G18</f>
        <v/>
      </c>
      <c r="G66" s="7">
        <f>F66-E66</f>
        <v/>
      </c>
      <c r="H66" s="8">
        <f>IF(E66=0,"",G66/ABS(E66))</f>
        <v/>
      </c>
      <c r="I66">
        <f>IF(AND(ABS(G66)&gt;Dashboard!$B$6,ISNUMBER(H66),ABS(H66)&gt;Dashboard!$C$6),"FLAG","")</f>
        <v/>
      </c>
    </row>
    <row r="67">
      <c r="A67">
        <f>'TB_2025'!A19</f>
        <v/>
      </c>
      <c r="B67">
        <f>'TB_2025'!B19</f>
        <v/>
      </c>
      <c r="C67">
        <f>'TB_2025'!C19</f>
        <v/>
      </c>
      <c r="D67" t="inlineStr">
        <is>
          <t>Jan</t>
        </is>
      </c>
      <c r="E67" s="7">
        <f>'TB_2025'!D19</f>
        <v/>
      </c>
      <c r="F67" s="7">
        <f>'TB_2026'!D19</f>
        <v/>
      </c>
      <c r="G67" s="7">
        <f>F67-E67</f>
        <v/>
      </c>
      <c r="H67" s="8">
        <f>IF(E67=0,"",G67/ABS(E67))</f>
        <v/>
      </c>
      <c r="I67">
        <f>IF(AND(ABS(G67)&gt;Dashboard!$B$6,ISNUMBER(H67),ABS(H67)&gt;Dashboard!$C$6),"FLAG","")</f>
        <v/>
      </c>
    </row>
    <row r="68">
      <c r="A68">
        <f>'TB_2025'!A19</f>
        <v/>
      </c>
      <c r="B68">
        <f>'TB_2025'!B19</f>
        <v/>
      </c>
      <c r="C68">
        <f>'TB_2025'!C19</f>
        <v/>
      </c>
      <c r="D68" t="inlineStr">
        <is>
          <t>Feb</t>
        </is>
      </c>
      <c r="E68" s="7">
        <f>'TB_2025'!E19</f>
        <v/>
      </c>
      <c r="F68" s="7">
        <f>'TB_2026'!E19</f>
        <v/>
      </c>
      <c r="G68" s="7">
        <f>F68-E68</f>
        <v/>
      </c>
      <c r="H68" s="8">
        <f>IF(E68=0,"",G68/ABS(E68))</f>
        <v/>
      </c>
      <c r="I68">
        <f>IF(AND(ABS(G68)&gt;Dashboard!$B$6,ISNUMBER(H68),ABS(H68)&gt;Dashboard!$C$6),"FLAG","")</f>
        <v/>
      </c>
    </row>
    <row r="69">
      <c r="A69">
        <f>'TB_2025'!A19</f>
        <v/>
      </c>
      <c r="B69">
        <f>'TB_2025'!B19</f>
        <v/>
      </c>
      <c r="C69">
        <f>'TB_2025'!C19</f>
        <v/>
      </c>
      <c r="D69" t="inlineStr">
        <is>
          <t>Mar</t>
        </is>
      </c>
      <c r="E69" s="7">
        <f>'TB_2025'!F19</f>
        <v/>
      </c>
      <c r="F69" s="7">
        <f>'TB_2026'!F19</f>
        <v/>
      </c>
      <c r="G69" s="7">
        <f>F69-E69</f>
        <v/>
      </c>
      <c r="H69" s="8">
        <f>IF(E69=0,"",G69/ABS(E69))</f>
        <v/>
      </c>
      <c r="I69">
        <f>IF(AND(ABS(G69)&gt;Dashboard!$B$6,ISNUMBER(H69),ABS(H69)&gt;Dashboard!$C$6),"FLAG","")</f>
        <v/>
      </c>
    </row>
    <row r="70">
      <c r="A70">
        <f>'TB_2025'!A19</f>
        <v/>
      </c>
      <c r="B70">
        <f>'TB_2025'!B19</f>
        <v/>
      </c>
      <c r="C70">
        <f>'TB_2025'!C19</f>
        <v/>
      </c>
      <c r="D70" t="inlineStr">
        <is>
          <t>Apr</t>
        </is>
      </c>
      <c r="E70" s="7">
        <f>'TB_2025'!G19</f>
        <v/>
      </c>
      <c r="F70" s="7">
        <f>'TB_2026'!G19</f>
        <v/>
      </c>
      <c r="G70" s="7">
        <f>F70-E70</f>
        <v/>
      </c>
      <c r="H70" s="8">
        <f>IF(E70=0,"",G70/ABS(E70))</f>
        <v/>
      </c>
      <c r="I70">
        <f>IF(AND(ABS(G70)&gt;Dashboard!$B$6,ISNUMBER(H70),ABS(H70)&gt;Dashboard!$C$6),"FLAG","")</f>
        <v/>
      </c>
    </row>
    <row r="71">
      <c r="A71">
        <f>'TB_2025'!A20</f>
        <v/>
      </c>
      <c r="B71">
        <f>'TB_2025'!B20</f>
        <v/>
      </c>
      <c r="C71">
        <f>'TB_2025'!C20</f>
        <v/>
      </c>
      <c r="D71" t="inlineStr">
        <is>
          <t>Jan</t>
        </is>
      </c>
      <c r="E71" s="7">
        <f>'TB_2025'!D20</f>
        <v/>
      </c>
      <c r="F71" s="7">
        <f>'TB_2026'!D20</f>
        <v/>
      </c>
      <c r="G71" s="7">
        <f>F71-E71</f>
        <v/>
      </c>
      <c r="H71" s="8">
        <f>IF(E71=0,"",G71/ABS(E71))</f>
        <v/>
      </c>
      <c r="I71">
        <f>IF(AND(ABS(G71)&gt;Dashboard!$B$6,ISNUMBER(H71),ABS(H71)&gt;Dashboard!$C$6),"FLAG","")</f>
        <v/>
      </c>
    </row>
    <row r="72">
      <c r="A72">
        <f>'TB_2025'!A20</f>
        <v/>
      </c>
      <c r="B72">
        <f>'TB_2025'!B20</f>
        <v/>
      </c>
      <c r="C72">
        <f>'TB_2025'!C20</f>
        <v/>
      </c>
      <c r="D72" t="inlineStr">
        <is>
          <t>Feb</t>
        </is>
      </c>
      <c r="E72" s="7">
        <f>'TB_2025'!E20</f>
        <v/>
      </c>
      <c r="F72" s="7">
        <f>'TB_2026'!E20</f>
        <v/>
      </c>
      <c r="G72" s="7">
        <f>F72-E72</f>
        <v/>
      </c>
      <c r="H72" s="8">
        <f>IF(E72=0,"",G72/ABS(E72))</f>
        <v/>
      </c>
      <c r="I72">
        <f>IF(AND(ABS(G72)&gt;Dashboard!$B$6,ISNUMBER(H72),ABS(H72)&gt;Dashboard!$C$6),"FLAG","")</f>
        <v/>
      </c>
    </row>
    <row r="73">
      <c r="A73">
        <f>'TB_2025'!A20</f>
        <v/>
      </c>
      <c r="B73">
        <f>'TB_2025'!B20</f>
        <v/>
      </c>
      <c r="C73">
        <f>'TB_2025'!C20</f>
        <v/>
      </c>
      <c r="D73" t="inlineStr">
        <is>
          <t>Mar</t>
        </is>
      </c>
      <c r="E73" s="7">
        <f>'TB_2025'!F20</f>
        <v/>
      </c>
      <c r="F73" s="7">
        <f>'TB_2026'!F20</f>
        <v/>
      </c>
      <c r="G73" s="7">
        <f>F73-E73</f>
        <v/>
      </c>
      <c r="H73" s="8">
        <f>IF(E73=0,"",G73/ABS(E73))</f>
        <v/>
      </c>
      <c r="I73">
        <f>IF(AND(ABS(G73)&gt;Dashboard!$B$6,ISNUMBER(H73),ABS(H73)&gt;Dashboard!$C$6),"FLAG","")</f>
        <v/>
      </c>
    </row>
    <row r="74">
      <c r="A74">
        <f>'TB_2025'!A20</f>
        <v/>
      </c>
      <c r="B74">
        <f>'TB_2025'!B20</f>
        <v/>
      </c>
      <c r="C74">
        <f>'TB_2025'!C20</f>
        <v/>
      </c>
      <c r="D74" t="inlineStr">
        <is>
          <t>Apr</t>
        </is>
      </c>
      <c r="E74" s="7">
        <f>'TB_2025'!G20</f>
        <v/>
      </c>
      <c r="F74" s="7">
        <f>'TB_2026'!G20</f>
        <v/>
      </c>
      <c r="G74" s="7">
        <f>F74-E74</f>
        <v/>
      </c>
      <c r="H74" s="8">
        <f>IF(E74=0,"",G74/ABS(E74))</f>
        <v/>
      </c>
      <c r="I74">
        <f>IF(AND(ABS(G74)&gt;Dashboard!$B$6,ISNUMBER(H74),ABS(H74)&gt;Dashboard!$C$6),"FLAG","")</f>
        <v/>
      </c>
    </row>
    <row r="75">
      <c r="A75">
        <f>'TB_2025'!A21</f>
        <v/>
      </c>
      <c r="B75">
        <f>'TB_2025'!B21</f>
        <v/>
      </c>
      <c r="C75">
        <f>'TB_2025'!C21</f>
        <v/>
      </c>
      <c r="D75" t="inlineStr">
        <is>
          <t>Jan</t>
        </is>
      </c>
      <c r="E75" s="7">
        <f>'TB_2025'!D21</f>
        <v/>
      </c>
      <c r="F75" s="7">
        <f>'TB_2026'!D21</f>
        <v/>
      </c>
      <c r="G75" s="7">
        <f>F75-E75</f>
        <v/>
      </c>
      <c r="H75" s="8">
        <f>IF(E75=0,"",G75/ABS(E75))</f>
        <v/>
      </c>
      <c r="I75">
        <f>IF(AND(ABS(G75)&gt;Dashboard!$B$6,ISNUMBER(H75),ABS(H75)&gt;Dashboard!$C$6),"FLAG","")</f>
        <v/>
      </c>
    </row>
    <row r="76">
      <c r="A76">
        <f>'TB_2025'!A21</f>
        <v/>
      </c>
      <c r="B76">
        <f>'TB_2025'!B21</f>
        <v/>
      </c>
      <c r="C76">
        <f>'TB_2025'!C21</f>
        <v/>
      </c>
      <c r="D76" t="inlineStr">
        <is>
          <t>Feb</t>
        </is>
      </c>
      <c r="E76" s="7">
        <f>'TB_2025'!E21</f>
        <v/>
      </c>
      <c r="F76" s="7">
        <f>'TB_2026'!E21</f>
        <v/>
      </c>
      <c r="G76" s="7">
        <f>F76-E76</f>
        <v/>
      </c>
      <c r="H76" s="8">
        <f>IF(E76=0,"",G76/ABS(E76))</f>
        <v/>
      </c>
      <c r="I76">
        <f>IF(AND(ABS(G76)&gt;Dashboard!$B$6,ISNUMBER(H76),ABS(H76)&gt;Dashboard!$C$6),"FLAG","")</f>
        <v/>
      </c>
    </row>
    <row r="77">
      <c r="A77">
        <f>'TB_2025'!A21</f>
        <v/>
      </c>
      <c r="B77">
        <f>'TB_2025'!B21</f>
        <v/>
      </c>
      <c r="C77">
        <f>'TB_2025'!C21</f>
        <v/>
      </c>
      <c r="D77" t="inlineStr">
        <is>
          <t>Mar</t>
        </is>
      </c>
      <c r="E77" s="7">
        <f>'TB_2025'!F21</f>
        <v/>
      </c>
      <c r="F77" s="7">
        <f>'TB_2026'!F21</f>
        <v/>
      </c>
      <c r="G77" s="7">
        <f>F77-E77</f>
        <v/>
      </c>
      <c r="H77" s="8">
        <f>IF(E77=0,"",G77/ABS(E77))</f>
        <v/>
      </c>
      <c r="I77">
        <f>IF(AND(ABS(G77)&gt;Dashboard!$B$6,ISNUMBER(H77),ABS(H77)&gt;Dashboard!$C$6),"FLAG","")</f>
        <v/>
      </c>
    </row>
    <row r="78">
      <c r="A78">
        <f>'TB_2025'!A21</f>
        <v/>
      </c>
      <c r="B78">
        <f>'TB_2025'!B21</f>
        <v/>
      </c>
      <c r="C78">
        <f>'TB_2025'!C21</f>
        <v/>
      </c>
      <c r="D78" t="inlineStr">
        <is>
          <t>Apr</t>
        </is>
      </c>
      <c r="E78" s="7">
        <f>'TB_2025'!G21</f>
        <v/>
      </c>
      <c r="F78" s="7">
        <f>'TB_2026'!G21</f>
        <v/>
      </c>
      <c r="G78" s="7">
        <f>F78-E78</f>
        <v/>
      </c>
      <c r="H78" s="8">
        <f>IF(E78=0,"",G78/ABS(E78))</f>
        <v/>
      </c>
      <c r="I78">
        <f>IF(AND(ABS(G78)&gt;Dashboard!$B$6,ISNUMBER(H78),ABS(H78)&gt;Dashboard!$C$6),"FLAG","")</f>
        <v/>
      </c>
    </row>
    <row r="79">
      <c r="A79">
        <f>'TB_2025'!A22</f>
        <v/>
      </c>
      <c r="B79">
        <f>'TB_2025'!B22</f>
        <v/>
      </c>
      <c r="C79">
        <f>'TB_2025'!C22</f>
        <v/>
      </c>
      <c r="D79" t="inlineStr">
        <is>
          <t>Jan</t>
        </is>
      </c>
      <c r="E79" s="7">
        <f>'TB_2025'!D22</f>
        <v/>
      </c>
      <c r="F79" s="7">
        <f>'TB_2026'!D22</f>
        <v/>
      </c>
      <c r="G79" s="7">
        <f>F79-E79</f>
        <v/>
      </c>
      <c r="H79" s="8">
        <f>IF(E79=0,"",G79/ABS(E79))</f>
        <v/>
      </c>
      <c r="I79">
        <f>IF(AND(ABS(G79)&gt;Dashboard!$B$6,ISNUMBER(H79),ABS(H79)&gt;Dashboard!$C$6),"FLAG","")</f>
        <v/>
      </c>
    </row>
    <row r="80">
      <c r="A80">
        <f>'TB_2025'!A22</f>
        <v/>
      </c>
      <c r="B80">
        <f>'TB_2025'!B22</f>
        <v/>
      </c>
      <c r="C80">
        <f>'TB_2025'!C22</f>
        <v/>
      </c>
      <c r="D80" t="inlineStr">
        <is>
          <t>Feb</t>
        </is>
      </c>
      <c r="E80" s="7">
        <f>'TB_2025'!E22</f>
        <v/>
      </c>
      <c r="F80" s="7">
        <f>'TB_2026'!E22</f>
        <v/>
      </c>
      <c r="G80" s="7">
        <f>F80-E80</f>
        <v/>
      </c>
      <c r="H80" s="8">
        <f>IF(E80=0,"",G80/ABS(E80))</f>
        <v/>
      </c>
      <c r="I80">
        <f>IF(AND(ABS(G80)&gt;Dashboard!$B$6,ISNUMBER(H80),ABS(H80)&gt;Dashboard!$C$6),"FLAG","")</f>
        <v/>
      </c>
    </row>
    <row r="81">
      <c r="A81">
        <f>'TB_2025'!A22</f>
        <v/>
      </c>
      <c r="B81">
        <f>'TB_2025'!B22</f>
        <v/>
      </c>
      <c r="C81">
        <f>'TB_2025'!C22</f>
        <v/>
      </c>
      <c r="D81" t="inlineStr">
        <is>
          <t>Mar</t>
        </is>
      </c>
      <c r="E81" s="7">
        <f>'TB_2025'!F22</f>
        <v/>
      </c>
      <c r="F81" s="7">
        <f>'TB_2026'!F22</f>
        <v/>
      </c>
      <c r="G81" s="7">
        <f>F81-E81</f>
        <v/>
      </c>
      <c r="H81" s="8">
        <f>IF(E81=0,"",G81/ABS(E81))</f>
        <v/>
      </c>
      <c r="I81">
        <f>IF(AND(ABS(G81)&gt;Dashboard!$B$6,ISNUMBER(H81),ABS(H81)&gt;Dashboard!$C$6),"FLAG","")</f>
        <v/>
      </c>
    </row>
    <row r="82">
      <c r="A82">
        <f>'TB_2025'!A22</f>
        <v/>
      </c>
      <c r="B82">
        <f>'TB_2025'!B22</f>
        <v/>
      </c>
      <c r="C82">
        <f>'TB_2025'!C22</f>
        <v/>
      </c>
      <c r="D82" t="inlineStr">
        <is>
          <t>Apr</t>
        </is>
      </c>
      <c r="E82" s="7">
        <f>'TB_2025'!G22</f>
        <v/>
      </c>
      <c r="F82" s="7">
        <f>'TB_2026'!G22</f>
        <v/>
      </c>
      <c r="G82" s="7">
        <f>F82-E82</f>
        <v/>
      </c>
      <c r="H82" s="8">
        <f>IF(E82=0,"",G82/ABS(E82))</f>
        <v/>
      </c>
      <c r="I82">
        <f>IF(AND(ABS(G82)&gt;Dashboard!$B$6,ISNUMBER(H82),ABS(H82)&gt;Dashboard!$C$6),"FLAG","")</f>
        <v/>
      </c>
    </row>
    <row r="83">
      <c r="A83">
        <f>'TB_2025'!A23</f>
        <v/>
      </c>
      <c r="B83">
        <f>'TB_2025'!B23</f>
        <v/>
      </c>
      <c r="C83">
        <f>'TB_2025'!C23</f>
        <v/>
      </c>
      <c r="D83" t="inlineStr">
        <is>
          <t>Jan</t>
        </is>
      </c>
      <c r="E83" s="7">
        <f>'TB_2025'!D23</f>
        <v/>
      </c>
      <c r="F83" s="7">
        <f>'TB_2026'!D23</f>
        <v/>
      </c>
      <c r="G83" s="7">
        <f>F83-E83</f>
        <v/>
      </c>
      <c r="H83" s="8">
        <f>IF(E83=0,"",G83/ABS(E83))</f>
        <v/>
      </c>
      <c r="I83">
        <f>IF(AND(ABS(G83)&gt;Dashboard!$B$6,ISNUMBER(H83),ABS(H83)&gt;Dashboard!$C$6),"FLAG","")</f>
        <v/>
      </c>
    </row>
    <row r="84">
      <c r="A84">
        <f>'TB_2025'!A23</f>
        <v/>
      </c>
      <c r="B84">
        <f>'TB_2025'!B23</f>
        <v/>
      </c>
      <c r="C84">
        <f>'TB_2025'!C23</f>
        <v/>
      </c>
      <c r="D84" t="inlineStr">
        <is>
          <t>Feb</t>
        </is>
      </c>
      <c r="E84" s="7">
        <f>'TB_2025'!E23</f>
        <v/>
      </c>
      <c r="F84" s="7">
        <f>'TB_2026'!E23</f>
        <v/>
      </c>
      <c r="G84" s="7">
        <f>F84-E84</f>
        <v/>
      </c>
      <c r="H84" s="8">
        <f>IF(E84=0,"",G84/ABS(E84))</f>
        <v/>
      </c>
      <c r="I84">
        <f>IF(AND(ABS(G84)&gt;Dashboard!$B$6,ISNUMBER(H84),ABS(H84)&gt;Dashboard!$C$6),"FLAG","")</f>
        <v/>
      </c>
    </row>
    <row r="85">
      <c r="A85">
        <f>'TB_2025'!A23</f>
        <v/>
      </c>
      <c r="B85">
        <f>'TB_2025'!B23</f>
        <v/>
      </c>
      <c r="C85">
        <f>'TB_2025'!C23</f>
        <v/>
      </c>
      <c r="D85" t="inlineStr">
        <is>
          <t>Mar</t>
        </is>
      </c>
      <c r="E85" s="7">
        <f>'TB_2025'!F23</f>
        <v/>
      </c>
      <c r="F85" s="7">
        <f>'TB_2026'!F23</f>
        <v/>
      </c>
      <c r="G85" s="7">
        <f>F85-E85</f>
        <v/>
      </c>
      <c r="H85" s="8">
        <f>IF(E85=0,"",G85/ABS(E85))</f>
        <v/>
      </c>
      <c r="I85">
        <f>IF(AND(ABS(G85)&gt;Dashboard!$B$6,ISNUMBER(H85),ABS(H85)&gt;Dashboard!$C$6),"FLAG","")</f>
        <v/>
      </c>
    </row>
    <row r="86">
      <c r="A86">
        <f>'TB_2025'!A23</f>
        <v/>
      </c>
      <c r="B86">
        <f>'TB_2025'!B23</f>
        <v/>
      </c>
      <c r="C86">
        <f>'TB_2025'!C23</f>
        <v/>
      </c>
      <c r="D86" t="inlineStr">
        <is>
          <t>Apr</t>
        </is>
      </c>
      <c r="E86" s="7">
        <f>'TB_2025'!G23</f>
        <v/>
      </c>
      <c r="F86" s="7">
        <f>'TB_2026'!G23</f>
        <v/>
      </c>
      <c r="G86" s="7">
        <f>F86-E86</f>
        <v/>
      </c>
      <c r="H86" s="8">
        <f>IF(E86=0,"",G86/ABS(E86))</f>
        <v/>
      </c>
      <c r="I86">
        <f>IF(AND(ABS(G86)&gt;Dashboard!$B$6,ISNUMBER(H86),ABS(H86)&gt;Dashboard!$C$6),"FLAG","")</f>
        <v/>
      </c>
    </row>
    <row r="87">
      <c r="A87">
        <f>'TB_2025'!A24</f>
        <v/>
      </c>
      <c r="B87">
        <f>'TB_2025'!B24</f>
        <v/>
      </c>
      <c r="C87">
        <f>'TB_2025'!C24</f>
        <v/>
      </c>
      <c r="D87" t="inlineStr">
        <is>
          <t>Jan</t>
        </is>
      </c>
      <c r="E87" s="7">
        <f>'TB_2025'!D24</f>
        <v/>
      </c>
      <c r="F87" s="7">
        <f>'TB_2026'!D24</f>
        <v/>
      </c>
      <c r="G87" s="7">
        <f>F87-E87</f>
        <v/>
      </c>
      <c r="H87" s="8">
        <f>IF(E87=0,"",G87/ABS(E87))</f>
        <v/>
      </c>
      <c r="I87">
        <f>IF(AND(ABS(G87)&gt;Dashboard!$B$6,ISNUMBER(H87),ABS(H87)&gt;Dashboard!$C$6),"FLAG","")</f>
        <v/>
      </c>
    </row>
    <row r="88">
      <c r="A88">
        <f>'TB_2025'!A24</f>
        <v/>
      </c>
      <c r="B88">
        <f>'TB_2025'!B24</f>
        <v/>
      </c>
      <c r="C88">
        <f>'TB_2025'!C24</f>
        <v/>
      </c>
      <c r="D88" t="inlineStr">
        <is>
          <t>Feb</t>
        </is>
      </c>
      <c r="E88" s="7">
        <f>'TB_2025'!E24</f>
        <v/>
      </c>
      <c r="F88" s="7">
        <f>'TB_2026'!E24</f>
        <v/>
      </c>
      <c r="G88" s="7">
        <f>F88-E88</f>
        <v/>
      </c>
      <c r="H88" s="8">
        <f>IF(E88=0,"",G88/ABS(E88))</f>
        <v/>
      </c>
      <c r="I88">
        <f>IF(AND(ABS(G88)&gt;Dashboard!$B$6,ISNUMBER(H88),ABS(H88)&gt;Dashboard!$C$6),"FLAG","")</f>
        <v/>
      </c>
    </row>
    <row r="89">
      <c r="A89">
        <f>'TB_2025'!A24</f>
        <v/>
      </c>
      <c r="B89">
        <f>'TB_2025'!B24</f>
        <v/>
      </c>
      <c r="C89">
        <f>'TB_2025'!C24</f>
        <v/>
      </c>
      <c r="D89" t="inlineStr">
        <is>
          <t>Mar</t>
        </is>
      </c>
      <c r="E89" s="7">
        <f>'TB_2025'!F24</f>
        <v/>
      </c>
      <c r="F89" s="7">
        <f>'TB_2026'!F24</f>
        <v/>
      </c>
      <c r="G89" s="7">
        <f>F89-E89</f>
        <v/>
      </c>
      <c r="H89" s="8">
        <f>IF(E89=0,"",G89/ABS(E89))</f>
        <v/>
      </c>
      <c r="I89">
        <f>IF(AND(ABS(G89)&gt;Dashboard!$B$6,ISNUMBER(H89),ABS(H89)&gt;Dashboard!$C$6),"FLAG","")</f>
        <v/>
      </c>
    </row>
    <row r="90">
      <c r="A90">
        <f>'TB_2025'!A24</f>
        <v/>
      </c>
      <c r="B90">
        <f>'TB_2025'!B24</f>
        <v/>
      </c>
      <c r="C90">
        <f>'TB_2025'!C24</f>
        <v/>
      </c>
      <c r="D90" t="inlineStr">
        <is>
          <t>Apr</t>
        </is>
      </c>
      <c r="E90" s="7">
        <f>'TB_2025'!G24</f>
        <v/>
      </c>
      <c r="F90" s="7">
        <f>'TB_2026'!G24</f>
        <v/>
      </c>
      <c r="G90" s="7">
        <f>F90-E90</f>
        <v/>
      </c>
      <c r="H90" s="8">
        <f>IF(E90=0,"",G90/ABS(E90))</f>
        <v/>
      </c>
      <c r="I90">
        <f>IF(AND(ABS(G90)&gt;Dashboard!$B$6,ISNUMBER(H90),ABS(H90)&gt;Dashboard!$C$6),"FLAG","")</f>
        <v/>
      </c>
    </row>
    <row r="91">
      <c r="A91">
        <f>'TB_2025'!A25</f>
        <v/>
      </c>
      <c r="B91">
        <f>'TB_2025'!B25</f>
        <v/>
      </c>
      <c r="C91">
        <f>'TB_2025'!C25</f>
        <v/>
      </c>
      <c r="D91" t="inlineStr">
        <is>
          <t>Jan</t>
        </is>
      </c>
      <c r="E91" s="7">
        <f>'TB_2025'!D25</f>
        <v/>
      </c>
      <c r="F91" s="7">
        <f>'TB_2026'!D25</f>
        <v/>
      </c>
      <c r="G91" s="7">
        <f>F91-E91</f>
        <v/>
      </c>
      <c r="H91" s="8">
        <f>IF(E91=0,"",G91/ABS(E91))</f>
        <v/>
      </c>
      <c r="I91">
        <f>IF(AND(ABS(G91)&gt;Dashboard!$B$6,ISNUMBER(H91),ABS(H91)&gt;Dashboard!$C$6),"FLAG","")</f>
        <v/>
      </c>
    </row>
    <row r="92">
      <c r="A92">
        <f>'TB_2025'!A25</f>
        <v/>
      </c>
      <c r="B92">
        <f>'TB_2025'!B25</f>
        <v/>
      </c>
      <c r="C92">
        <f>'TB_2025'!C25</f>
        <v/>
      </c>
      <c r="D92" t="inlineStr">
        <is>
          <t>Feb</t>
        </is>
      </c>
      <c r="E92" s="7">
        <f>'TB_2025'!E25</f>
        <v/>
      </c>
      <c r="F92" s="7">
        <f>'TB_2026'!E25</f>
        <v/>
      </c>
      <c r="G92" s="7">
        <f>F92-E92</f>
        <v/>
      </c>
      <c r="H92" s="8">
        <f>IF(E92=0,"",G92/ABS(E92))</f>
        <v/>
      </c>
      <c r="I92">
        <f>IF(AND(ABS(G92)&gt;Dashboard!$B$6,ISNUMBER(H92),ABS(H92)&gt;Dashboard!$C$6),"FLAG","")</f>
        <v/>
      </c>
    </row>
    <row r="93">
      <c r="A93">
        <f>'TB_2025'!A25</f>
        <v/>
      </c>
      <c r="B93">
        <f>'TB_2025'!B25</f>
        <v/>
      </c>
      <c r="C93">
        <f>'TB_2025'!C25</f>
        <v/>
      </c>
      <c r="D93" t="inlineStr">
        <is>
          <t>Mar</t>
        </is>
      </c>
      <c r="E93" s="7">
        <f>'TB_2025'!F25</f>
        <v/>
      </c>
      <c r="F93" s="7">
        <f>'TB_2026'!F25</f>
        <v/>
      </c>
      <c r="G93" s="7">
        <f>F93-E93</f>
        <v/>
      </c>
      <c r="H93" s="8">
        <f>IF(E93=0,"",G93/ABS(E93))</f>
        <v/>
      </c>
      <c r="I93">
        <f>IF(AND(ABS(G93)&gt;Dashboard!$B$6,ISNUMBER(H93),ABS(H93)&gt;Dashboard!$C$6),"FLAG","")</f>
        <v/>
      </c>
    </row>
    <row r="94">
      <c r="A94">
        <f>'TB_2025'!A25</f>
        <v/>
      </c>
      <c r="B94">
        <f>'TB_2025'!B25</f>
        <v/>
      </c>
      <c r="C94">
        <f>'TB_2025'!C25</f>
        <v/>
      </c>
      <c r="D94" t="inlineStr">
        <is>
          <t>Apr</t>
        </is>
      </c>
      <c r="E94" s="7">
        <f>'TB_2025'!G25</f>
        <v/>
      </c>
      <c r="F94" s="7">
        <f>'TB_2026'!G25</f>
        <v/>
      </c>
      <c r="G94" s="7">
        <f>F94-E94</f>
        <v/>
      </c>
      <c r="H94" s="8">
        <f>IF(E94=0,"",G94/ABS(E94))</f>
        <v/>
      </c>
      <c r="I94">
        <f>IF(AND(ABS(G94)&gt;Dashboard!$B$6,ISNUMBER(H94),ABS(H94)&gt;Dashboard!$C$6),"FLAG","")</f>
        <v/>
      </c>
    </row>
    <row r="95">
      <c r="A95">
        <f>'TB_2025'!A26</f>
        <v/>
      </c>
      <c r="B95">
        <f>'TB_2025'!B26</f>
        <v/>
      </c>
      <c r="C95">
        <f>'TB_2025'!C26</f>
        <v/>
      </c>
      <c r="D95" t="inlineStr">
        <is>
          <t>Jan</t>
        </is>
      </c>
      <c r="E95" s="7">
        <f>'TB_2025'!D26</f>
        <v/>
      </c>
      <c r="F95" s="7">
        <f>'TB_2026'!D26</f>
        <v/>
      </c>
      <c r="G95" s="7">
        <f>F95-E95</f>
        <v/>
      </c>
      <c r="H95" s="8">
        <f>IF(E95=0,"",G95/ABS(E95))</f>
        <v/>
      </c>
      <c r="I95">
        <f>IF(AND(ABS(G95)&gt;Dashboard!$B$6,ISNUMBER(H95),ABS(H95)&gt;Dashboard!$C$6),"FLAG","")</f>
        <v/>
      </c>
    </row>
    <row r="96">
      <c r="A96">
        <f>'TB_2025'!A26</f>
        <v/>
      </c>
      <c r="B96">
        <f>'TB_2025'!B26</f>
        <v/>
      </c>
      <c r="C96">
        <f>'TB_2025'!C26</f>
        <v/>
      </c>
      <c r="D96" t="inlineStr">
        <is>
          <t>Feb</t>
        </is>
      </c>
      <c r="E96" s="7">
        <f>'TB_2025'!E26</f>
        <v/>
      </c>
      <c r="F96" s="7">
        <f>'TB_2026'!E26</f>
        <v/>
      </c>
      <c r="G96" s="7">
        <f>F96-E96</f>
        <v/>
      </c>
      <c r="H96" s="8">
        <f>IF(E96=0,"",G96/ABS(E96))</f>
        <v/>
      </c>
      <c r="I96">
        <f>IF(AND(ABS(G96)&gt;Dashboard!$B$6,ISNUMBER(H96),ABS(H96)&gt;Dashboard!$C$6),"FLAG","")</f>
        <v/>
      </c>
    </row>
    <row r="97">
      <c r="A97">
        <f>'TB_2025'!A26</f>
        <v/>
      </c>
      <c r="B97">
        <f>'TB_2025'!B26</f>
        <v/>
      </c>
      <c r="C97">
        <f>'TB_2025'!C26</f>
        <v/>
      </c>
      <c r="D97" t="inlineStr">
        <is>
          <t>Mar</t>
        </is>
      </c>
      <c r="E97" s="7">
        <f>'TB_2025'!F26</f>
        <v/>
      </c>
      <c r="F97" s="7">
        <f>'TB_2026'!F26</f>
        <v/>
      </c>
      <c r="G97" s="7">
        <f>F97-E97</f>
        <v/>
      </c>
      <c r="H97" s="8">
        <f>IF(E97=0,"",G97/ABS(E97))</f>
        <v/>
      </c>
      <c r="I97">
        <f>IF(AND(ABS(G97)&gt;Dashboard!$B$6,ISNUMBER(H97),ABS(H97)&gt;Dashboard!$C$6),"FLAG","")</f>
        <v/>
      </c>
    </row>
    <row r="98">
      <c r="A98">
        <f>'TB_2025'!A26</f>
        <v/>
      </c>
      <c r="B98">
        <f>'TB_2025'!B26</f>
        <v/>
      </c>
      <c r="C98">
        <f>'TB_2025'!C26</f>
        <v/>
      </c>
      <c r="D98" t="inlineStr">
        <is>
          <t>Apr</t>
        </is>
      </c>
      <c r="E98" s="7">
        <f>'TB_2025'!G26</f>
        <v/>
      </c>
      <c r="F98" s="7">
        <f>'TB_2026'!G26</f>
        <v/>
      </c>
      <c r="G98" s="7">
        <f>F98-E98</f>
        <v/>
      </c>
      <c r="H98" s="8">
        <f>IF(E98=0,"",G98/ABS(E98))</f>
        <v/>
      </c>
      <c r="I98">
        <f>IF(AND(ABS(G98)&gt;Dashboard!$B$6,ISNUMBER(H98),ABS(H98)&gt;Dashboard!$C$6),"FLAG","")</f>
        <v/>
      </c>
    </row>
    <row r="99">
      <c r="A99">
        <f>'TB_2025'!A27</f>
        <v/>
      </c>
      <c r="B99">
        <f>'TB_2025'!B27</f>
        <v/>
      </c>
      <c r="C99">
        <f>'TB_2025'!C27</f>
        <v/>
      </c>
      <c r="D99" t="inlineStr">
        <is>
          <t>Jan</t>
        </is>
      </c>
      <c r="E99" s="7">
        <f>'TB_2025'!D27</f>
        <v/>
      </c>
      <c r="F99" s="7">
        <f>'TB_2026'!D27</f>
        <v/>
      </c>
      <c r="G99" s="7">
        <f>F99-E99</f>
        <v/>
      </c>
      <c r="H99" s="8">
        <f>IF(E99=0,"",G99/ABS(E99))</f>
        <v/>
      </c>
      <c r="I99">
        <f>IF(AND(ABS(G99)&gt;Dashboard!$B$6,ISNUMBER(H99),ABS(H99)&gt;Dashboard!$C$6),"FLAG","")</f>
        <v/>
      </c>
    </row>
    <row r="100">
      <c r="A100">
        <f>'TB_2025'!A27</f>
        <v/>
      </c>
      <c r="B100">
        <f>'TB_2025'!B27</f>
        <v/>
      </c>
      <c r="C100">
        <f>'TB_2025'!C27</f>
        <v/>
      </c>
      <c r="D100" t="inlineStr">
        <is>
          <t>Feb</t>
        </is>
      </c>
      <c r="E100" s="7">
        <f>'TB_2025'!E27</f>
        <v/>
      </c>
      <c r="F100" s="7">
        <f>'TB_2026'!E27</f>
        <v/>
      </c>
      <c r="G100" s="7">
        <f>F100-E100</f>
        <v/>
      </c>
      <c r="H100" s="8">
        <f>IF(E100=0,"",G100/ABS(E100))</f>
        <v/>
      </c>
      <c r="I100">
        <f>IF(AND(ABS(G100)&gt;Dashboard!$B$6,ISNUMBER(H100),ABS(H100)&gt;Dashboard!$C$6),"FLAG","")</f>
        <v/>
      </c>
    </row>
    <row r="101">
      <c r="A101">
        <f>'TB_2025'!A27</f>
        <v/>
      </c>
      <c r="B101">
        <f>'TB_2025'!B27</f>
        <v/>
      </c>
      <c r="C101">
        <f>'TB_2025'!C27</f>
        <v/>
      </c>
      <c r="D101" t="inlineStr">
        <is>
          <t>Mar</t>
        </is>
      </c>
      <c r="E101" s="7">
        <f>'TB_2025'!F27</f>
        <v/>
      </c>
      <c r="F101" s="7">
        <f>'TB_2026'!F27</f>
        <v/>
      </c>
      <c r="G101" s="7">
        <f>F101-E101</f>
        <v/>
      </c>
      <c r="H101" s="8">
        <f>IF(E101=0,"",G101/ABS(E101))</f>
        <v/>
      </c>
      <c r="I101">
        <f>IF(AND(ABS(G101)&gt;Dashboard!$B$6,ISNUMBER(H101),ABS(H101)&gt;Dashboard!$C$6),"FLAG","")</f>
        <v/>
      </c>
    </row>
    <row r="102">
      <c r="A102">
        <f>'TB_2025'!A27</f>
        <v/>
      </c>
      <c r="B102">
        <f>'TB_2025'!B27</f>
        <v/>
      </c>
      <c r="C102">
        <f>'TB_2025'!C27</f>
        <v/>
      </c>
      <c r="D102" t="inlineStr">
        <is>
          <t>Apr</t>
        </is>
      </c>
      <c r="E102" s="7">
        <f>'TB_2025'!G27</f>
        <v/>
      </c>
      <c r="F102" s="7">
        <f>'TB_2026'!G27</f>
        <v/>
      </c>
      <c r="G102" s="7">
        <f>F102-E102</f>
        <v/>
      </c>
      <c r="H102" s="8">
        <f>IF(E102=0,"",G102/ABS(E102))</f>
        <v/>
      </c>
      <c r="I102">
        <f>IF(AND(ABS(G102)&gt;Dashboard!$B$6,ISNUMBER(H102),ABS(H102)&gt;Dashboard!$C$6),"FLAG","")</f>
        <v/>
      </c>
    </row>
    <row r="103">
      <c r="A103">
        <f>'TB_2025'!A28</f>
        <v/>
      </c>
      <c r="B103">
        <f>'TB_2025'!B28</f>
        <v/>
      </c>
      <c r="C103">
        <f>'TB_2025'!C28</f>
        <v/>
      </c>
      <c r="D103" t="inlineStr">
        <is>
          <t>Jan</t>
        </is>
      </c>
      <c r="E103" s="7">
        <f>'TB_2025'!D28</f>
        <v/>
      </c>
      <c r="F103" s="7">
        <f>'TB_2026'!D28</f>
        <v/>
      </c>
      <c r="G103" s="7">
        <f>F103-E103</f>
        <v/>
      </c>
      <c r="H103" s="8">
        <f>IF(E103=0,"",G103/ABS(E103))</f>
        <v/>
      </c>
      <c r="I103">
        <f>IF(AND(ABS(G103)&gt;Dashboard!$B$6,ISNUMBER(H103),ABS(H103)&gt;Dashboard!$C$6),"FLAG","")</f>
        <v/>
      </c>
    </row>
    <row r="104">
      <c r="A104">
        <f>'TB_2025'!A28</f>
        <v/>
      </c>
      <c r="B104">
        <f>'TB_2025'!B28</f>
        <v/>
      </c>
      <c r="C104">
        <f>'TB_2025'!C28</f>
        <v/>
      </c>
      <c r="D104" t="inlineStr">
        <is>
          <t>Feb</t>
        </is>
      </c>
      <c r="E104" s="7">
        <f>'TB_2025'!E28</f>
        <v/>
      </c>
      <c r="F104" s="7">
        <f>'TB_2026'!E28</f>
        <v/>
      </c>
      <c r="G104" s="7">
        <f>F104-E104</f>
        <v/>
      </c>
      <c r="H104" s="8">
        <f>IF(E104=0,"",G104/ABS(E104))</f>
        <v/>
      </c>
      <c r="I104">
        <f>IF(AND(ABS(G104)&gt;Dashboard!$B$6,ISNUMBER(H104),ABS(H104)&gt;Dashboard!$C$6),"FLAG","")</f>
        <v/>
      </c>
    </row>
    <row r="105">
      <c r="A105">
        <f>'TB_2025'!A28</f>
        <v/>
      </c>
      <c r="B105">
        <f>'TB_2025'!B28</f>
        <v/>
      </c>
      <c r="C105">
        <f>'TB_2025'!C28</f>
        <v/>
      </c>
      <c r="D105" t="inlineStr">
        <is>
          <t>Mar</t>
        </is>
      </c>
      <c r="E105" s="7">
        <f>'TB_2025'!F28</f>
        <v/>
      </c>
      <c r="F105" s="7">
        <f>'TB_2026'!F28</f>
        <v/>
      </c>
      <c r="G105" s="7">
        <f>F105-E105</f>
        <v/>
      </c>
      <c r="H105" s="8">
        <f>IF(E105=0,"",G105/ABS(E105))</f>
        <v/>
      </c>
      <c r="I105">
        <f>IF(AND(ABS(G105)&gt;Dashboard!$B$6,ISNUMBER(H105),ABS(H105)&gt;Dashboard!$C$6),"FLAG","")</f>
        <v/>
      </c>
    </row>
    <row r="106">
      <c r="A106">
        <f>'TB_2025'!A28</f>
        <v/>
      </c>
      <c r="B106">
        <f>'TB_2025'!B28</f>
        <v/>
      </c>
      <c r="C106">
        <f>'TB_2025'!C28</f>
        <v/>
      </c>
      <c r="D106" t="inlineStr">
        <is>
          <t>Apr</t>
        </is>
      </c>
      <c r="E106" s="7">
        <f>'TB_2025'!G28</f>
        <v/>
      </c>
      <c r="F106" s="7">
        <f>'TB_2026'!G28</f>
        <v/>
      </c>
      <c r="G106" s="7">
        <f>F106-E106</f>
        <v/>
      </c>
      <c r="H106" s="8">
        <f>IF(E106=0,"",G106/ABS(E106))</f>
        <v/>
      </c>
      <c r="I106">
        <f>IF(AND(ABS(G106)&gt;Dashboard!$B$6,ISNUMBER(H106),ABS(H106)&gt;Dashboard!$C$6),"FLAG","")</f>
        <v/>
      </c>
    </row>
    <row r="107">
      <c r="A107">
        <f>'TB_2025'!A29</f>
        <v/>
      </c>
      <c r="B107">
        <f>'TB_2025'!B29</f>
        <v/>
      </c>
      <c r="C107">
        <f>'TB_2025'!C29</f>
        <v/>
      </c>
      <c r="D107" t="inlineStr">
        <is>
          <t>Jan</t>
        </is>
      </c>
      <c r="E107" s="7">
        <f>'TB_2025'!D29</f>
        <v/>
      </c>
      <c r="F107" s="7">
        <f>'TB_2026'!D29</f>
        <v/>
      </c>
      <c r="G107" s="7">
        <f>F107-E107</f>
        <v/>
      </c>
      <c r="H107" s="8">
        <f>IF(E107=0,"",G107/ABS(E107))</f>
        <v/>
      </c>
      <c r="I107">
        <f>IF(AND(ABS(G107)&gt;Dashboard!$B$6,ISNUMBER(H107),ABS(H107)&gt;Dashboard!$C$6),"FLAG","")</f>
        <v/>
      </c>
    </row>
    <row r="108">
      <c r="A108">
        <f>'TB_2025'!A29</f>
        <v/>
      </c>
      <c r="B108">
        <f>'TB_2025'!B29</f>
        <v/>
      </c>
      <c r="C108">
        <f>'TB_2025'!C29</f>
        <v/>
      </c>
      <c r="D108" t="inlineStr">
        <is>
          <t>Feb</t>
        </is>
      </c>
      <c r="E108" s="7">
        <f>'TB_2025'!E29</f>
        <v/>
      </c>
      <c r="F108" s="7">
        <f>'TB_2026'!E29</f>
        <v/>
      </c>
      <c r="G108" s="7">
        <f>F108-E108</f>
        <v/>
      </c>
      <c r="H108" s="8">
        <f>IF(E108=0,"",G108/ABS(E108))</f>
        <v/>
      </c>
      <c r="I108">
        <f>IF(AND(ABS(G108)&gt;Dashboard!$B$6,ISNUMBER(H108),ABS(H108)&gt;Dashboard!$C$6),"FLAG","")</f>
        <v/>
      </c>
    </row>
    <row r="109">
      <c r="A109">
        <f>'TB_2025'!A29</f>
        <v/>
      </c>
      <c r="B109">
        <f>'TB_2025'!B29</f>
        <v/>
      </c>
      <c r="C109">
        <f>'TB_2025'!C29</f>
        <v/>
      </c>
      <c r="D109" t="inlineStr">
        <is>
          <t>Mar</t>
        </is>
      </c>
      <c r="E109" s="7">
        <f>'TB_2025'!F29</f>
        <v/>
      </c>
      <c r="F109" s="7">
        <f>'TB_2026'!F29</f>
        <v/>
      </c>
      <c r="G109" s="7">
        <f>F109-E109</f>
        <v/>
      </c>
      <c r="H109" s="8">
        <f>IF(E109=0,"",G109/ABS(E109))</f>
        <v/>
      </c>
      <c r="I109">
        <f>IF(AND(ABS(G109)&gt;Dashboard!$B$6,ISNUMBER(H109),ABS(H109)&gt;Dashboard!$C$6),"FLAG","")</f>
        <v/>
      </c>
    </row>
    <row r="110">
      <c r="A110">
        <f>'TB_2025'!A29</f>
        <v/>
      </c>
      <c r="B110">
        <f>'TB_2025'!B29</f>
        <v/>
      </c>
      <c r="C110">
        <f>'TB_2025'!C29</f>
        <v/>
      </c>
      <c r="D110" t="inlineStr">
        <is>
          <t>Apr</t>
        </is>
      </c>
      <c r="E110" s="7">
        <f>'TB_2025'!G29</f>
        <v/>
      </c>
      <c r="F110" s="7">
        <f>'TB_2026'!G29</f>
        <v/>
      </c>
      <c r="G110" s="7">
        <f>F110-E110</f>
        <v/>
      </c>
      <c r="H110" s="8">
        <f>IF(E110=0,"",G110/ABS(E110))</f>
        <v/>
      </c>
      <c r="I110">
        <f>IF(AND(ABS(G110)&gt;Dashboard!$B$6,ISNUMBER(H110),ABS(H110)&gt;Dashboard!$C$6),"FLAG","")</f>
        <v/>
      </c>
    </row>
    <row r="111">
      <c r="A111">
        <f>'TB_2025'!A30</f>
        <v/>
      </c>
      <c r="B111">
        <f>'TB_2025'!B30</f>
        <v/>
      </c>
      <c r="C111">
        <f>'TB_2025'!C30</f>
        <v/>
      </c>
      <c r="D111" t="inlineStr">
        <is>
          <t>Jan</t>
        </is>
      </c>
      <c r="E111" s="7">
        <f>'TB_2025'!D30</f>
        <v/>
      </c>
      <c r="F111" s="7">
        <f>'TB_2026'!D30</f>
        <v/>
      </c>
      <c r="G111" s="7">
        <f>F111-E111</f>
        <v/>
      </c>
      <c r="H111" s="8">
        <f>IF(E111=0,"",G111/ABS(E111))</f>
        <v/>
      </c>
      <c r="I111">
        <f>IF(AND(ABS(G111)&gt;Dashboard!$B$6,ISNUMBER(H111),ABS(H111)&gt;Dashboard!$C$6),"FLAG","")</f>
        <v/>
      </c>
    </row>
    <row r="112">
      <c r="A112">
        <f>'TB_2025'!A30</f>
        <v/>
      </c>
      <c r="B112">
        <f>'TB_2025'!B30</f>
        <v/>
      </c>
      <c r="C112">
        <f>'TB_2025'!C30</f>
        <v/>
      </c>
      <c r="D112" t="inlineStr">
        <is>
          <t>Feb</t>
        </is>
      </c>
      <c r="E112" s="7">
        <f>'TB_2025'!E30</f>
        <v/>
      </c>
      <c r="F112" s="7">
        <f>'TB_2026'!E30</f>
        <v/>
      </c>
      <c r="G112" s="7">
        <f>F112-E112</f>
        <v/>
      </c>
      <c r="H112" s="8">
        <f>IF(E112=0,"",G112/ABS(E112))</f>
        <v/>
      </c>
      <c r="I112">
        <f>IF(AND(ABS(G112)&gt;Dashboard!$B$6,ISNUMBER(H112),ABS(H112)&gt;Dashboard!$C$6),"FLAG","")</f>
        <v/>
      </c>
    </row>
    <row r="113">
      <c r="A113">
        <f>'TB_2025'!A30</f>
        <v/>
      </c>
      <c r="B113">
        <f>'TB_2025'!B30</f>
        <v/>
      </c>
      <c r="C113">
        <f>'TB_2025'!C30</f>
        <v/>
      </c>
      <c r="D113" t="inlineStr">
        <is>
          <t>Mar</t>
        </is>
      </c>
      <c r="E113" s="7">
        <f>'TB_2025'!F30</f>
        <v/>
      </c>
      <c r="F113" s="7">
        <f>'TB_2026'!F30</f>
        <v/>
      </c>
      <c r="G113" s="7">
        <f>F113-E113</f>
        <v/>
      </c>
      <c r="H113" s="8">
        <f>IF(E113=0,"",G113/ABS(E113))</f>
        <v/>
      </c>
      <c r="I113">
        <f>IF(AND(ABS(G113)&gt;Dashboard!$B$6,ISNUMBER(H113),ABS(H113)&gt;Dashboard!$C$6),"FLAG","")</f>
        <v/>
      </c>
    </row>
    <row r="114">
      <c r="A114">
        <f>'TB_2025'!A30</f>
        <v/>
      </c>
      <c r="B114">
        <f>'TB_2025'!B30</f>
        <v/>
      </c>
      <c r="C114">
        <f>'TB_2025'!C30</f>
        <v/>
      </c>
      <c r="D114" t="inlineStr">
        <is>
          <t>Apr</t>
        </is>
      </c>
      <c r="E114" s="7">
        <f>'TB_2025'!G30</f>
        <v/>
      </c>
      <c r="F114" s="7">
        <f>'TB_2026'!G30</f>
        <v/>
      </c>
      <c r="G114" s="7">
        <f>F114-E114</f>
        <v/>
      </c>
      <c r="H114" s="8">
        <f>IF(E114=0,"",G114/ABS(E114))</f>
        <v/>
      </c>
      <c r="I114">
        <f>IF(AND(ABS(G114)&gt;Dashboard!$B$6,ISNUMBER(H114),ABS(H114)&gt;Dashboard!$C$6),"FLAG","")</f>
        <v/>
      </c>
    </row>
    <row r="115">
      <c r="A115">
        <f>'TB_2025'!A31</f>
        <v/>
      </c>
      <c r="B115">
        <f>'TB_2025'!B31</f>
        <v/>
      </c>
      <c r="C115">
        <f>'TB_2025'!C31</f>
        <v/>
      </c>
      <c r="D115" t="inlineStr">
        <is>
          <t>Jan</t>
        </is>
      </c>
      <c r="E115" s="7">
        <f>'TB_2025'!D31</f>
        <v/>
      </c>
      <c r="F115" s="7">
        <f>'TB_2026'!D31</f>
        <v/>
      </c>
      <c r="G115" s="7">
        <f>F115-E115</f>
        <v/>
      </c>
      <c r="H115" s="8">
        <f>IF(E115=0,"",G115/ABS(E115))</f>
        <v/>
      </c>
      <c r="I115">
        <f>IF(AND(ABS(G115)&gt;Dashboard!$B$6,ISNUMBER(H115),ABS(H115)&gt;Dashboard!$C$6),"FLAG","")</f>
        <v/>
      </c>
    </row>
    <row r="116">
      <c r="A116">
        <f>'TB_2025'!A31</f>
        <v/>
      </c>
      <c r="B116">
        <f>'TB_2025'!B31</f>
        <v/>
      </c>
      <c r="C116">
        <f>'TB_2025'!C31</f>
        <v/>
      </c>
      <c r="D116" t="inlineStr">
        <is>
          <t>Feb</t>
        </is>
      </c>
      <c r="E116" s="7">
        <f>'TB_2025'!E31</f>
        <v/>
      </c>
      <c r="F116" s="7">
        <f>'TB_2026'!E31</f>
        <v/>
      </c>
      <c r="G116" s="7">
        <f>F116-E116</f>
        <v/>
      </c>
      <c r="H116" s="8">
        <f>IF(E116=0,"",G116/ABS(E116))</f>
        <v/>
      </c>
      <c r="I116">
        <f>IF(AND(ABS(G116)&gt;Dashboard!$B$6,ISNUMBER(H116),ABS(H116)&gt;Dashboard!$C$6),"FLAG","")</f>
        <v/>
      </c>
    </row>
    <row r="117">
      <c r="A117">
        <f>'TB_2025'!A31</f>
        <v/>
      </c>
      <c r="B117">
        <f>'TB_2025'!B31</f>
        <v/>
      </c>
      <c r="C117">
        <f>'TB_2025'!C31</f>
        <v/>
      </c>
      <c r="D117" t="inlineStr">
        <is>
          <t>Mar</t>
        </is>
      </c>
      <c r="E117" s="7">
        <f>'TB_2025'!F31</f>
        <v/>
      </c>
      <c r="F117" s="7">
        <f>'TB_2026'!F31</f>
        <v/>
      </c>
      <c r="G117" s="7">
        <f>F117-E117</f>
        <v/>
      </c>
      <c r="H117" s="8">
        <f>IF(E117=0,"",G117/ABS(E117))</f>
        <v/>
      </c>
      <c r="I117">
        <f>IF(AND(ABS(G117)&gt;Dashboard!$B$6,ISNUMBER(H117),ABS(H117)&gt;Dashboard!$C$6),"FLAG","")</f>
        <v/>
      </c>
    </row>
    <row r="118">
      <c r="A118">
        <f>'TB_2025'!A31</f>
        <v/>
      </c>
      <c r="B118">
        <f>'TB_2025'!B31</f>
        <v/>
      </c>
      <c r="C118">
        <f>'TB_2025'!C31</f>
        <v/>
      </c>
      <c r="D118" t="inlineStr">
        <is>
          <t>Apr</t>
        </is>
      </c>
      <c r="E118" s="7">
        <f>'TB_2025'!G31</f>
        <v/>
      </c>
      <c r="F118" s="7">
        <f>'TB_2026'!G31</f>
        <v/>
      </c>
      <c r="G118" s="7">
        <f>F118-E118</f>
        <v/>
      </c>
      <c r="H118" s="8">
        <f>IF(E118=0,"",G118/ABS(E118))</f>
        <v/>
      </c>
      <c r="I118">
        <f>IF(AND(ABS(G118)&gt;Dashboard!$B$6,ISNUMBER(H118),ABS(H118)&gt;Dashboard!$C$6),"FLAG","")</f>
        <v/>
      </c>
    </row>
    <row r="119">
      <c r="A119">
        <f>'TB_2025'!A32</f>
        <v/>
      </c>
      <c r="B119">
        <f>'TB_2025'!B32</f>
        <v/>
      </c>
      <c r="C119">
        <f>'TB_2025'!C32</f>
        <v/>
      </c>
      <c r="D119" t="inlineStr">
        <is>
          <t>Jan</t>
        </is>
      </c>
      <c r="E119" s="7">
        <f>'TB_2025'!D32</f>
        <v/>
      </c>
      <c r="F119" s="7">
        <f>'TB_2026'!D32</f>
        <v/>
      </c>
      <c r="G119" s="7">
        <f>F119-E119</f>
        <v/>
      </c>
      <c r="H119" s="8">
        <f>IF(E119=0,"",G119/ABS(E119))</f>
        <v/>
      </c>
      <c r="I119">
        <f>IF(AND(ABS(G119)&gt;Dashboard!$B$6,ISNUMBER(H119),ABS(H119)&gt;Dashboard!$C$6),"FLAG","")</f>
        <v/>
      </c>
    </row>
    <row r="120">
      <c r="A120">
        <f>'TB_2025'!A32</f>
        <v/>
      </c>
      <c r="B120">
        <f>'TB_2025'!B32</f>
        <v/>
      </c>
      <c r="C120">
        <f>'TB_2025'!C32</f>
        <v/>
      </c>
      <c r="D120" t="inlineStr">
        <is>
          <t>Feb</t>
        </is>
      </c>
      <c r="E120" s="7">
        <f>'TB_2025'!E32</f>
        <v/>
      </c>
      <c r="F120" s="7">
        <f>'TB_2026'!E32</f>
        <v/>
      </c>
      <c r="G120" s="7">
        <f>F120-E120</f>
        <v/>
      </c>
      <c r="H120" s="8">
        <f>IF(E120=0,"",G120/ABS(E120))</f>
        <v/>
      </c>
      <c r="I120">
        <f>IF(AND(ABS(G120)&gt;Dashboard!$B$6,ISNUMBER(H120),ABS(H120)&gt;Dashboard!$C$6),"FLAG","")</f>
        <v/>
      </c>
    </row>
    <row r="121">
      <c r="A121">
        <f>'TB_2025'!A32</f>
        <v/>
      </c>
      <c r="B121">
        <f>'TB_2025'!B32</f>
        <v/>
      </c>
      <c r="C121">
        <f>'TB_2025'!C32</f>
        <v/>
      </c>
      <c r="D121" t="inlineStr">
        <is>
          <t>Mar</t>
        </is>
      </c>
      <c r="E121" s="7">
        <f>'TB_2025'!F32</f>
        <v/>
      </c>
      <c r="F121" s="7">
        <f>'TB_2026'!F32</f>
        <v/>
      </c>
      <c r="G121" s="7">
        <f>F121-E121</f>
        <v/>
      </c>
      <c r="H121" s="8">
        <f>IF(E121=0,"",G121/ABS(E121))</f>
        <v/>
      </c>
      <c r="I121">
        <f>IF(AND(ABS(G121)&gt;Dashboard!$B$6,ISNUMBER(H121),ABS(H121)&gt;Dashboard!$C$6),"FLAG","")</f>
        <v/>
      </c>
    </row>
    <row r="122">
      <c r="A122">
        <f>'TB_2025'!A32</f>
        <v/>
      </c>
      <c r="B122">
        <f>'TB_2025'!B32</f>
        <v/>
      </c>
      <c r="C122">
        <f>'TB_2025'!C32</f>
        <v/>
      </c>
      <c r="D122" t="inlineStr">
        <is>
          <t>Apr</t>
        </is>
      </c>
      <c r="E122" s="7">
        <f>'TB_2025'!G32</f>
        <v/>
      </c>
      <c r="F122" s="7">
        <f>'TB_2026'!G32</f>
        <v/>
      </c>
      <c r="G122" s="7">
        <f>F122-E122</f>
        <v/>
      </c>
      <c r="H122" s="8">
        <f>IF(E122=0,"",G122/ABS(E122))</f>
        <v/>
      </c>
      <c r="I122">
        <f>IF(AND(ABS(G122)&gt;Dashboard!$B$6,ISNUMBER(H122),ABS(H122)&gt;Dashboard!$C$6),"FLAG","")</f>
        <v/>
      </c>
    </row>
    <row r="123">
      <c r="A123">
        <f>'TB_2025'!A33</f>
        <v/>
      </c>
      <c r="B123">
        <f>'TB_2025'!B33</f>
        <v/>
      </c>
      <c r="C123">
        <f>'TB_2025'!C33</f>
        <v/>
      </c>
      <c r="D123" t="inlineStr">
        <is>
          <t>Jan</t>
        </is>
      </c>
      <c r="E123" s="7">
        <f>'TB_2025'!D33</f>
        <v/>
      </c>
      <c r="F123" s="7">
        <f>'TB_2026'!D33</f>
        <v/>
      </c>
      <c r="G123" s="7">
        <f>F123-E123</f>
        <v/>
      </c>
      <c r="H123" s="8">
        <f>IF(E123=0,"",G123/ABS(E123))</f>
        <v/>
      </c>
      <c r="I123">
        <f>IF(AND(ABS(G123)&gt;Dashboard!$B$6,ISNUMBER(H123),ABS(H123)&gt;Dashboard!$C$6),"FLAG","")</f>
        <v/>
      </c>
    </row>
    <row r="124">
      <c r="A124">
        <f>'TB_2025'!A33</f>
        <v/>
      </c>
      <c r="B124">
        <f>'TB_2025'!B33</f>
        <v/>
      </c>
      <c r="C124">
        <f>'TB_2025'!C33</f>
        <v/>
      </c>
      <c r="D124" t="inlineStr">
        <is>
          <t>Feb</t>
        </is>
      </c>
      <c r="E124" s="7">
        <f>'TB_2025'!E33</f>
        <v/>
      </c>
      <c r="F124" s="7">
        <f>'TB_2026'!E33</f>
        <v/>
      </c>
      <c r="G124" s="7">
        <f>F124-E124</f>
        <v/>
      </c>
      <c r="H124" s="8">
        <f>IF(E124=0,"",G124/ABS(E124))</f>
        <v/>
      </c>
      <c r="I124">
        <f>IF(AND(ABS(G124)&gt;Dashboard!$B$6,ISNUMBER(H124),ABS(H124)&gt;Dashboard!$C$6),"FLAG","")</f>
        <v/>
      </c>
    </row>
    <row r="125">
      <c r="A125">
        <f>'TB_2025'!A33</f>
        <v/>
      </c>
      <c r="B125">
        <f>'TB_2025'!B33</f>
        <v/>
      </c>
      <c r="C125">
        <f>'TB_2025'!C33</f>
        <v/>
      </c>
      <c r="D125" t="inlineStr">
        <is>
          <t>Mar</t>
        </is>
      </c>
      <c r="E125" s="7">
        <f>'TB_2025'!F33</f>
        <v/>
      </c>
      <c r="F125" s="7">
        <f>'TB_2026'!F33</f>
        <v/>
      </c>
      <c r="G125" s="7">
        <f>F125-E125</f>
        <v/>
      </c>
      <c r="H125" s="8">
        <f>IF(E125=0,"",G125/ABS(E125))</f>
        <v/>
      </c>
      <c r="I125">
        <f>IF(AND(ABS(G125)&gt;Dashboard!$B$6,ISNUMBER(H125),ABS(H125)&gt;Dashboard!$C$6),"FLAG","")</f>
        <v/>
      </c>
    </row>
    <row r="126">
      <c r="A126">
        <f>'TB_2025'!A33</f>
        <v/>
      </c>
      <c r="B126">
        <f>'TB_2025'!B33</f>
        <v/>
      </c>
      <c r="C126">
        <f>'TB_2025'!C33</f>
        <v/>
      </c>
      <c r="D126" t="inlineStr">
        <is>
          <t>Apr</t>
        </is>
      </c>
      <c r="E126" s="7">
        <f>'TB_2025'!G33</f>
        <v/>
      </c>
      <c r="F126" s="7">
        <f>'TB_2026'!G33</f>
        <v/>
      </c>
      <c r="G126" s="7">
        <f>F126-E126</f>
        <v/>
      </c>
      <c r="H126" s="8">
        <f>IF(E126=0,"",G126/ABS(E126))</f>
        <v/>
      </c>
      <c r="I126">
        <f>IF(AND(ABS(G126)&gt;Dashboard!$B$6,ISNUMBER(H126),ABS(H126)&gt;Dashboard!$C$6),"FLAG","")</f>
        <v/>
      </c>
    </row>
    <row r="127">
      <c r="A127">
        <f>'TB_2025'!A34</f>
        <v/>
      </c>
      <c r="B127">
        <f>'TB_2025'!B34</f>
        <v/>
      </c>
      <c r="C127">
        <f>'TB_2025'!C34</f>
        <v/>
      </c>
      <c r="D127" t="inlineStr">
        <is>
          <t>Jan</t>
        </is>
      </c>
      <c r="E127" s="7">
        <f>'TB_2025'!D34</f>
        <v/>
      </c>
      <c r="F127" s="7">
        <f>'TB_2026'!D34</f>
        <v/>
      </c>
      <c r="G127" s="7">
        <f>F127-E127</f>
        <v/>
      </c>
      <c r="H127" s="8">
        <f>IF(E127=0,"",G127/ABS(E127))</f>
        <v/>
      </c>
      <c r="I127">
        <f>IF(AND(ABS(G127)&gt;Dashboard!$B$6,ISNUMBER(H127),ABS(H127)&gt;Dashboard!$C$6),"FLAG","")</f>
        <v/>
      </c>
    </row>
    <row r="128">
      <c r="A128">
        <f>'TB_2025'!A34</f>
        <v/>
      </c>
      <c r="B128">
        <f>'TB_2025'!B34</f>
        <v/>
      </c>
      <c r="C128">
        <f>'TB_2025'!C34</f>
        <v/>
      </c>
      <c r="D128" t="inlineStr">
        <is>
          <t>Feb</t>
        </is>
      </c>
      <c r="E128" s="7">
        <f>'TB_2025'!E34</f>
        <v/>
      </c>
      <c r="F128" s="7">
        <f>'TB_2026'!E34</f>
        <v/>
      </c>
      <c r="G128" s="7">
        <f>F128-E128</f>
        <v/>
      </c>
      <c r="H128" s="8">
        <f>IF(E128=0,"",G128/ABS(E128))</f>
        <v/>
      </c>
      <c r="I128">
        <f>IF(AND(ABS(G128)&gt;Dashboard!$B$6,ISNUMBER(H128),ABS(H128)&gt;Dashboard!$C$6),"FLAG","")</f>
        <v/>
      </c>
    </row>
    <row r="129">
      <c r="A129">
        <f>'TB_2025'!A34</f>
        <v/>
      </c>
      <c r="B129">
        <f>'TB_2025'!B34</f>
        <v/>
      </c>
      <c r="C129">
        <f>'TB_2025'!C34</f>
        <v/>
      </c>
      <c r="D129" t="inlineStr">
        <is>
          <t>Mar</t>
        </is>
      </c>
      <c r="E129" s="7">
        <f>'TB_2025'!F34</f>
        <v/>
      </c>
      <c r="F129" s="7">
        <f>'TB_2026'!F34</f>
        <v/>
      </c>
      <c r="G129" s="7">
        <f>F129-E129</f>
        <v/>
      </c>
      <c r="H129" s="8">
        <f>IF(E129=0,"",G129/ABS(E129))</f>
        <v/>
      </c>
      <c r="I129">
        <f>IF(AND(ABS(G129)&gt;Dashboard!$B$6,ISNUMBER(H129),ABS(H129)&gt;Dashboard!$C$6),"FLAG","")</f>
        <v/>
      </c>
    </row>
    <row r="130">
      <c r="A130">
        <f>'TB_2025'!A34</f>
        <v/>
      </c>
      <c r="B130">
        <f>'TB_2025'!B34</f>
        <v/>
      </c>
      <c r="C130">
        <f>'TB_2025'!C34</f>
        <v/>
      </c>
      <c r="D130" t="inlineStr">
        <is>
          <t>Apr</t>
        </is>
      </c>
      <c r="E130" s="7">
        <f>'TB_2025'!G34</f>
        <v/>
      </c>
      <c r="F130" s="7">
        <f>'TB_2026'!G34</f>
        <v/>
      </c>
      <c r="G130" s="7">
        <f>F130-E130</f>
        <v/>
      </c>
      <c r="H130" s="8">
        <f>IF(E130=0,"",G130/ABS(E130))</f>
        <v/>
      </c>
      <c r="I130">
        <f>IF(AND(ABS(G130)&gt;Dashboard!$B$6,ISNUMBER(H130),ABS(H130)&gt;Dashboard!$C$6),"FLAG","")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8" customWidth="1" min="4" max="4"/>
    <col width="8" customWidth="1" min="5" max="5"/>
    <col width="14" customWidth="1" min="6" max="6"/>
    <col width="14" customWidth="1" min="7" max="7"/>
    <col width="12" customWidth="1" min="8" max="8"/>
    <col width="10" customWidth="1" min="9" max="9"/>
    <col width="8" customWidth="1" min="10" max="10"/>
  </cols>
  <sheetData>
    <row r="1">
      <c r="A1" s="6" t="inlineStr">
        <is>
          <t>Month-over-Month Variance - sequential months, 2026 only</t>
        </is>
      </c>
    </row>
    <row r="2">
      <c r="A2" s="4" t="inlineStr">
        <is>
          <t>Account Code</t>
        </is>
      </c>
      <c r="B2" s="4" t="inlineStr">
        <is>
          <t>Account</t>
        </is>
      </c>
      <c r="C2" s="4" t="inlineStr">
        <is>
          <t>Type</t>
        </is>
      </c>
      <c r="D2" s="4" t="inlineStr">
        <is>
          <t>From</t>
        </is>
      </c>
      <c r="E2" s="4" t="inlineStr">
        <is>
          <t>To</t>
        </is>
      </c>
      <c r="F2" s="4" t="inlineStr">
        <is>
          <t>Value (From)</t>
        </is>
      </c>
      <c r="G2" s="4" t="inlineStr">
        <is>
          <t>Value (To)</t>
        </is>
      </c>
      <c r="H2" s="4" t="inlineStr">
        <is>
          <t>$ Var</t>
        </is>
      </c>
      <c r="I2" s="4" t="inlineStr">
        <is>
          <t>% Var</t>
        </is>
      </c>
      <c r="J2" s="4" t="inlineStr">
        <is>
          <t>Flag</t>
        </is>
      </c>
    </row>
    <row r="3">
      <c r="A3">
        <f>'TB_2026'!A3</f>
        <v/>
      </c>
      <c r="B3">
        <f>'TB_2026'!B3</f>
        <v/>
      </c>
      <c r="C3">
        <f>'TB_2026'!C3</f>
        <v/>
      </c>
      <c r="D3" t="inlineStr">
        <is>
          <t>Jan</t>
        </is>
      </c>
      <c r="E3" t="inlineStr">
        <is>
          <t>Feb</t>
        </is>
      </c>
      <c r="F3" s="7">
        <f>'TB_2026'!D3</f>
        <v/>
      </c>
      <c r="G3" s="7">
        <f>'TB_2026'!E3</f>
        <v/>
      </c>
      <c r="H3" s="7">
        <f>G3-F3</f>
        <v/>
      </c>
      <c r="I3" s="8">
        <f>IF(F3=0,"",H3/ABS(F3))</f>
        <v/>
      </c>
      <c r="J3">
        <f>IF(AND(ABS(H3)&gt;Dashboard!$B$7,ISNUMBER(I3),ABS(I3)&gt;Dashboard!$C$7),"FLAG","")</f>
        <v/>
      </c>
    </row>
    <row r="4">
      <c r="A4">
        <f>'TB_2026'!A3</f>
        <v/>
      </c>
      <c r="B4">
        <f>'TB_2026'!B3</f>
        <v/>
      </c>
      <c r="C4">
        <f>'TB_2026'!C3</f>
        <v/>
      </c>
      <c r="D4" t="inlineStr">
        <is>
          <t>Feb</t>
        </is>
      </c>
      <c r="E4" t="inlineStr">
        <is>
          <t>Mar</t>
        </is>
      </c>
      <c r="F4" s="7">
        <f>'TB_2026'!E3</f>
        <v/>
      </c>
      <c r="G4" s="7">
        <f>'TB_2026'!F3</f>
        <v/>
      </c>
      <c r="H4" s="7">
        <f>G4-F4</f>
        <v/>
      </c>
      <c r="I4" s="8">
        <f>IF(F4=0,"",H4/ABS(F4))</f>
        <v/>
      </c>
      <c r="J4">
        <f>IF(AND(ABS(H4)&gt;Dashboard!$B$7,ISNUMBER(I4),ABS(I4)&gt;Dashboard!$C$7),"FLAG","")</f>
        <v/>
      </c>
    </row>
    <row r="5">
      <c r="A5">
        <f>'TB_2026'!A3</f>
        <v/>
      </c>
      <c r="B5">
        <f>'TB_2026'!B3</f>
        <v/>
      </c>
      <c r="C5">
        <f>'TB_2026'!C3</f>
        <v/>
      </c>
      <c r="D5" t="inlineStr">
        <is>
          <t>Mar</t>
        </is>
      </c>
      <c r="E5" t="inlineStr">
        <is>
          <t>Apr</t>
        </is>
      </c>
      <c r="F5" s="7">
        <f>'TB_2026'!F3</f>
        <v/>
      </c>
      <c r="G5" s="7">
        <f>'TB_2026'!G3</f>
        <v/>
      </c>
      <c r="H5" s="7">
        <f>G5-F5</f>
        <v/>
      </c>
      <c r="I5" s="8">
        <f>IF(F5=0,"",H5/ABS(F5))</f>
        <v/>
      </c>
      <c r="J5">
        <f>IF(AND(ABS(H5)&gt;Dashboard!$B$7,ISNUMBER(I5),ABS(I5)&gt;Dashboard!$C$7),"FLAG","")</f>
        <v/>
      </c>
    </row>
    <row r="6">
      <c r="A6">
        <f>'TB_2026'!A4</f>
        <v/>
      </c>
      <c r="B6">
        <f>'TB_2026'!B4</f>
        <v/>
      </c>
      <c r="C6">
        <f>'TB_2026'!C4</f>
        <v/>
      </c>
      <c r="D6" t="inlineStr">
        <is>
          <t>Jan</t>
        </is>
      </c>
      <c r="E6" t="inlineStr">
        <is>
          <t>Feb</t>
        </is>
      </c>
      <c r="F6" s="7">
        <f>'TB_2026'!D4</f>
        <v/>
      </c>
      <c r="G6" s="7">
        <f>'TB_2026'!E4</f>
        <v/>
      </c>
      <c r="H6" s="7">
        <f>G6-F6</f>
        <v/>
      </c>
      <c r="I6" s="8">
        <f>IF(F6=0,"",H6/ABS(F6))</f>
        <v/>
      </c>
      <c r="J6">
        <f>IF(AND(ABS(H6)&gt;Dashboard!$B$7,ISNUMBER(I6),ABS(I6)&gt;Dashboard!$C$7),"FLAG","")</f>
        <v/>
      </c>
    </row>
    <row r="7">
      <c r="A7">
        <f>'TB_2026'!A4</f>
        <v/>
      </c>
      <c r="B7">
        <f>'TB_2026'!B4</f>
        <v/>
      </c>
      <c r="C7">
        <f>'TB_2026'!C4</f>
        <v/>
      </c>
      <c r="D7" t="inlineStr">
        <is>
          <t>Feb</t>
        </is>
      </c>
      <c r="E7" t="inlineStr">
        <is>
          <t>Mar</t>
        </is>
      </c>
      <c r="F7" s="7">
        <f>'TB_2026'!E4</f>
        <v/>
      </c>
      <c r="G7" s="7">
        <f>'TB_2026'!F4</f>
        <v/>
      </c>
      <c r="H7" s="7">
        <f>G7-F7</f>
        <v/>
      </c>
      <c r="I7" s="8">
        <f>IF(F7=0,"",H7/ABS(F7))</f>
        <v/>
      </c>
      <c r="J7">
        <f>IF(AND(ABS(H7)&gt;Dashboard!$B$7,ISNUMBER(I7),ABS(I7)&gt;Dashboard!$C$7),"FLAG","")</f>
        <v/>
      </c>
    </row>
    <row r="8">
      <c r="A8">
        <f>'TB_2026'!A4</f>
        <v/>
      </c>
      <c r="B8">
        <f>'TB_2026'!B4</f>
        <v/>
      </c>
      <c r="C8">
        <f>'TB_2026'!C4</f>
        <v/>
      </c>
      <c r="D8" t="inlineStr">
        <is>
          <t>Mar</t>
        </is>
      </c>
      <c r="E8" t="inlineStr">
        <is>
          <t>Apr</t>
        </is>
      </c>
      <c r="F8" s="7">
        <f>'TB_2026'!F4</f>
        <v/>
      </c>
      <c r="G8" s="7">
        <f>'TB_2026'!G4</f>
        <v/>
      </c>
      <c r="H8" s="7">
        <f>G8-F8</f>
        <v/>
      </c>
      <c r="I8" s="8">
        <f>IF(F8=0,"",H8/ABS(F8))</f>
        <v/>
      </c>
      <c r="J8">
        <f>IF(AND(ABS(H8)&gt;Dashboard!$B$7,ISNUMBER(I8),ABS(I8)&gt;Dashboard!$C$7),"FLAG","")</f>
        <v/>
      </c>
    </row>
    <row r="9">
      <c r="A9">
        <f>'TB_2026'!A5</f>
        <v/>
      </c>
      <c r="B9">
        <f>'TB_2026'!B5</f>
        <v/>
      </c>
      <c r="C9">
        <f>'TB_2026'!C5</f>
        <v/>
      </c>
      <c r="D9" t="inlineStr">
        <is>
          <t>Jan</t>
        </is>
      </c>
      <c r="E9" t="inlineStr">
        <is>
          <t>Feb</t>
        </is>
      </c>
      <c r="F9" s="7">
        <f>'TB_2026'!D5</f>
        <v/>
      </c>
      <c r="G9" s="7">
        <f>'TB_2026'!E5</f>
        <v/>
      </c>
      <c r="H9" s="7">
        <f>G9-F9</f>
        <v/>
      </c>
      <c r="I9" s="8">
        <f>IF(F9=0,"",H9/ABS(F9))</f>
        <v/>
      </c>
      <c r="J9">
        <f>IF(AND(ABS(H9)&gt;Dashboard!$B$7,ISNUMBER(I9),ABS(I9)&gt;Dashboard!$C$7),"FLAG","")</f>
        <v/>
      </c>
    </row>
    <row r="10">
      <c r="A10">
        <f>'TB_2026'!A5</f>
        <v/>
      </c>
      <c r="B10">
        <f>'TB_2026'!B5</f>
        <v/>
      </c>
      <c r="C10">
        <f>'TB_2026'!C5</f>
        <v/>
      </c>
      <c r="D10" t="inlineStr">
        <is>
          <t>Feb</t>
        </is>
      </c>
      <c r="E10" t="inlineStr">
        <is>
          <t>Mar</t>
        </is>
      </c>
      <c r="F10" s="7">
        <f>'TB_2026'!E5</f>
        <v/>
      </c>
      <c r="G10" s="7">
        <f>'TB_2026'!F5</f>
        <v/>
      </c>
      <c r="H10" s="7">
        <f>G10-F10</f>
        <v/>
      </c>
      <c r="I10" s="8">
        <f>IF(F10=0,"",H10/ABS(F10))</f>
        <v/>
      </c>
      <c r="J10">
        <f>IF(AND(ABS(H10)&gt;Dashboard!$B$7,ISNUMBER(I10),ABS(I10)&gt;Dashboard!$C$7),"FLAG","")</f>
        <v/>
      </c>
    </row>
    <row r="11">
      <c r="A11">
        <f>'TB_2026'!A5</f>
        <v/>
      </c>
      <c r="B11">
        <f>'TB_2026'!B5</f>
        <v/>
      </c>
      <c r="C11">
        <f>'TB_2026'!C5</f>
        <v/>
      </c>
      <c r="D11" t="inlineStr">
        <is>
          <t>Mar</t>
        </is>
      </c>
      <c r="E11" t="inlineStr">
        <is>
          <t>Apr</t>
        </is>
      </c>
      <c r="F11" s="7">
        <f>'TB_2026'!F5</f>
        <v/>
      </c>
      <c r="G11" s="7">
        <f>'TB_2026'!G5</f>
        <v/>
      </c>
      <c r="H11" s="7">
        <f>G11-F11</f>
        <v/>
      </c>
      <c r="I11" s="8">
        <f>IF(F11=0,"",H11/ABS(F11))</f>
        <v/>
      </c>
      <c r="J11">
        <f>IF(AND(ABS(H11)&gt;Dashboard!$B$7,ISNUMBER(I11),ABS(I11)&gt;Dashboard!$C$7),"FLAG","")</f>
        <v/>
      </c>
    </row>
    <row r="12">
      <c r="A12">
        <f>'TB_2026'!A6</f>
        <v/>
      </c>
      <c r="B12">
        <f>'TB_2026'!B6</f>
        <v/>
      </c>
      <c r="C12">
        <f>'TB_2026'!C6</f>
        <v/>
      </c>
      <c r="D12" t="inlineStr">
        <is>
          <t>Jan</t>
        </is>
      </c>
      <c r="E12" t="inlineStr">
        <is>
          <t>Feb</t>
        </is>
      </c>
      <c r="F12" s="7">
        <f>'TB_2026'!D6</f>
        <v/>
      </c>
      <c r="G12" s="7">
        <f>'TB_2026'!E6</f>
        <v/>
      </c>
      <c r="H12" s="7">
        <f>G12-F12</f>
        <v/>
      </c>
      <c r="I12" s="8">
        <f>IF(F12=0,"",H12/ABS(F12))</f>
        <v/>
      </c>
      <c r="J12">
        <f>IF(AND(ABS(H12)&gt;Dashboard!$B$7,ISNUMBER(I12),ABS(I12)&gt;Dashboard!$C$7),"FLAG","")</f>
        <v/>
      </c>
    </row>
    <row r="13">
      <c r="A13">
        <f>'TB_2026'!A6</f>
        <v/>
      </c>
      <c r="B13">
        <f>'TB_2026'!B6</f>
        <v/>
      </c>
      <c r="C13">
        <f>'TB_2026'!C6</f>
        <v/>
      </c>
      <c r="D13" t="inlineStr">
        <is>
          <t>Feb</t>
        </is>
      </c>
      <c r="E13" t="inlineStr">
        <is>
          <t>Mar</t>
        </is>
      </c>
      <c r="F13" s="7">
        <f>'TB_2026'!E6</f>
        <v/>
      </c>
      <c r="G13" s="7">
        <f>'TB_2026'!F6</f>
        <v/>
      </c>
      <c r="H13" s="7">
        <f>G13-F13</f>
        <v/>
      </c>
      <c r="I13" s="8">
        <f>IF(F13=0,"",H13/ABS(F13))</f>
        <v/>
      </c>
      <c r="J13">
        <f>IF(AND(ABS(H13)&gt;Dashboard!$B$7,ISNUMBER(I13),ABS(I13)&gt;Dashboard!$C$7),"FLAG","")</f>
        <v/>
      </c>
    </row>
    <row r="14">
      <c r="A14">
        <f>'TB_2026'!A6</f>
        <v/>
      </c>
      <c r="B14">
        <f>'TB_2026'!B6</f>
        <v/>
      </c>
      <c r="C14">
        <f>'TB_2026'!C6</f>
        <v/>
      </c>
      <c r="D14" t="inlineStr">
        <is>
          <t>Mar</t>
        </is>
      </c>
      <c r="E14" t="inlineStr">
        <is>
          <t>Apr</t>
        </is>
      </c>
      <c r="F14" s="7">
        <f>'TB_2026'!F6</f>
        <v/>
      </c>
      <c r="G14" s="7">
        <f>'TB_2026'!G6</f>
        <v/>
      </c>
      <c r="H14" s="7">
        <f>G14-F14</f>
        <v/>
      </c>
      <c r="I14" s="8">
        <f>IF(F14=0,"",H14/ABS(F14))</f>
        <v/>
      </c>
      <c r="J14">
        <f>IF(AND(ABS(H14)&gt;Dashboard!$B$7,ISNUMBER(I14),ABS(I14)&gt;Dashboard!$C$7),"FLAG","")</f>
        <v/>
      </c>
    </row>
    <row r="15">
      <c r="A15">
        <f>'TB_2026'!A7</f>
        <v/>
      </c>
      <c r="B15">
        <f>'TB_2026'!B7</f>
        <v/>
      </c>
      <c r="C15">
        <f>'TB_2026'!C7</f>
        <v/>
      </c>
      <c r="D15" t="inlineStr">
        <is>
          <t>Jan</t>
        </is>
      </c>
      <c r="E15" t="inlineStr">
        <is>
          <t>Feb</t>
        </is>
      </c>
      <c r="F15" s="7">
        <f>'TB_2026'!D7</f>
        <v/>
      </c>
      <c r="G15" s="7">
        <f>'TB_2026'!E7</f>
        <v/>
      </c>
      <c r="H15" s="7">
        <f>G15-F15</f>
        <v/>
      </c>
      <c r="I15" s="8">
        <f>IF(F15=0,"",H15/ABS(F15))</f>
        <v/>
      </c>
      <c r="J15">
        <f>IF(AND(ABS(H15)&gt;Dashboard!$B$7,ISNUMBER(I15),ABS(I15)&gt;Dashboard!$C$7),"FLAG","")</f>
        <v/>
      </c>
    </row>
    <row r="16">
      <c r="A16">
        <f>'TB_2026'!A7</f>
        <v/>
      </c>
      <c r="B16">
        <f>'TB_2026'!B7</f>
        <v/>
      </c>
      <c r="C16">
        <f>'TB_2026'!C7</f>
        <v/>
      </c>
      <c r="D16" t="inlineStr">
        <is>
          <t>Feb</t>
        </is>
      </c>
      <c r="E16" t="inlineStr">
        <is>
          <t>Mar</t>
        </is>
      </c>
      <c r="F16" s="7">
        <f>'TB_2026'!E7</f>
        <v/>
      </c>
      <c r="G16" s="7">
        <f>'TB_2026'!F7</f>
        <v/>
      </c>
      <c r="H16" s="7">
        <f>G16-F16</f>
        <v/>
      </c>
      <c r="I16" s="8">
        <f>IF(F16=0,"",H16/ABS(F16))</f>
        <v/>
      </c>
      <c r="J16">
        <f>IF(AND(ABS(H16)&gt;Dashboard!$B$7,ISNUMBER(I16),ABS(I16)&gt;Dashboard!$C$7),"FLAG","")</f>
        <v/>
      </c>
    </row>
    <row r="17">
      <c r="A17">
        <f>'TB_2026'!A7</f>
        <v/>
      </c>
      <c r="B17">
        <f>'TB_2026'!B7</f>
        <v/>
      </c>
      <c r="C17">
        <f>'TB_2026'!C7</f>
        <v/>
      </c>
      <c r="D17" t="inlineStr">
        <is>
          <t>Mar</t>
        </is>
      </c>
      <c r="E17" t="inlineStr">
        <is>
          <t>Apr</t>
        </is>
      </c>
      <c r="F17" s="7">
        <f>'TB_2026'!F7</f>
        <v/>
      </c>
      <c r="G17" s="7">
        <f>'TB_2026'!G7</f>
        <v/>
      </c>
      <c r="H17" s="7">
        <f>G17-F17</f>
        <v/>
      </c>
      <c r="I17" s="8">
        <f>IF(F17=0,"",H17/ABS(F17))</f>
        <v/>
      </c>
      <c r="J17">
        <f>IF(AND(ABS(H17)&gt;Dashboard!$B$7,ISNUMBER(I17),ABS(I17)&gt;Dashboard!$C$7),"FLAG","")</f>
        <v/>
      </c>
    </row>
    <row r="18">
      <c r="A18">
        <f>'TB_2026'!A8</f>
        <v/>
      </c>
      <c r="B18">
        <f>'TB_2026'!B8</f>
        <v/>
      </c>
      <c r="C18">
        <f>'TB_2026'!C8</f>
        <v/>
      </c>
      <c r="D18" t="inlineStr">
        <is>
          <t>Jan</t>
        </is>
      </c>
      <c r="E18" t="inlineStr">
        <is>
          <t>Feb</t>
        </is>
      </c>
      <c r="F18" s="7">
        <f>'TB_2026'!D8</f>
        <v/>
      </c>
      <c r="G18" s="7">
        <f>'TB_2026'!E8</f>
        <v/>
      </c>
      <c r="H18" s="7">
        <f>G18-F18</f>
        <v/>
      </c>
      <c r="I18" s="8">
        <f>IF(F18=0,"",H18/ABS(F18))</f>
        <v/>
      </c>
      <c r="J18">
        <f>IF(AND(ABS(H18)&gt;Dashboard!$B$7,ISNUMBER(I18),ABS(I18)&gt;Dashboard!$C$7),"FLAG","")</f>
        <v/>
      </c>
    </row>
    <row r="19">
      <c r="A19">
        <f>'TB_2026'!A8</f>
        <v/>
      </c>
      <c r="B19">
        <f>'TB_2026'!B8</f>
        <v/>
      </c>
      <c r="C19">
        <f>'TB_2026'!C8</f>
        <v/>
      </c>
      <c r="D19" t="inlineStr">
        <is>
          <t>Feb</t>
        </is>
      </c>
      <c r="E19" t="inlineStr">
        <is>
          <t>Mar</t>
        </is>
      </c>
      <c r="F19" s="7">
        <f>'TB_2026'!E8</f>
        <v/>
      </c>
      <c r="G19" s="7">
        <f>'TB_2026'!F8</f>
        <v/>
      </c>
      <c r="H19" s="7">
        <f>G19-F19</f>
        <v/>
      </c>
      <c r="I19" s="8">
        <f>IF(F19=0,"",H19/ABS(F19))</f>
        <v/>
      </c>
      <c r="J19">
        <f>IF(AND(ABS(H19)&gt;Dashboard!$B$7,ISNUMBER(I19),ABS(I19)&gt;Dashboard!$C$7),"FLAG","")</f>
        <v/>
      </c>
    </row>
    <row r="20">
      <c r="A20">
        <f>'TB_2026'!A8</f>
        <v/>
      </c>
      <c r="B20">
        <f>'TB_2026'!B8</f>
        <v/>
      </c>
      <c r="C20">
        <f>'TB_2026'!C8</f>
        <v/>
      </c>
      <c r="D20" t="inlineStr">
        <is>
          <t>Mar</t>
        </is>
      </c>
      <c r="E20" t="inlineStr">
        <is>
          <t>Apr</t>
        </is>
      </c>
      <c r="F20" s="7">
        <f>'TB_2026'!F8</f>
        <v/>
      </c>
      <c r="G20" s="7">
        <f>'TB_2026'!G8</f>
        <v/>
      </c>
      <c r="H20" s="7">
        <f>G20-F20</f>
        <v/>
      </c>
      <c r="I20" s="8">
        <f>IF(F20=0,"",H20/ABS(F20))</f>
        <v/>
      </c>
      <c r="J20">
        <f>IF(AND(ABS(H20)&gt;Dashboard!$B$7,ISNUMBER(I20),ABS(I20)&gt;Dashboard!$C$7),"FLAG","")</f>
        <v/>
      </c>
    </row>
    <row r="21">
      <c r="A21">
        <f>'TB_2026'!A9</f>
        <v/>
      </c>
      <c r="B21">
        <f>'TB_2026'!B9</f>
        <v/>
      </c>
      <c r="C21">
        <f>'TB_2026'!C9</f>
        <v/>
      </c>
      <c r="D21" t="inlineStr">
        <is>
          <t>Jan</t>
        </is>
      </c>
      <c r="E21" t="inlineStr">
        <is>
          <t>Feb</t>
        </is>
      </c>
      <c r="F21" s="7">
        <f>'TB_2026'!D9</f>
        <v/>
      </c>
      <c r="G21" s="7">
        <f>'TB_2026'!E9</f>
        <v/>
      </c>
      <c r="H21" s="7">
        <f>G21-F21</f>
        <v/>
      </c>
      <c r="I21" s="8">
        <f>IF(F21=0,"",H21/ABS(F21))</f>
        <v/>
      </c>
      <c r="J21">
        <f>IF(AND(ABS(H21)&gt;Dashboard!$B$7,ISNUMBER(I21),ABS(I21)&gt;Dashboard!$C$7),"FLAG","")</f>
        <v/>
      </c>
    </row>
    <row r="22">
      <c r="A22">
        <f>'TB_2026'!A9</f>
        <v/>
      </c>
      <c r="B22">
        <f>'TB_2026'!B9</f>
        <v/>
      </c>
      <c r="C22">
        <f>'TB_2026'!C9</f>
        <v/>
      </c>
      <c r="D22" t="inlineStr">
        <is>
          <t>Feb</t>
        </is>
      </c>
      <c r="E22" t="inlineStr">
        <is>
          <t>Mar</t>
        </is>
      </c>
      <c r="F22" s="7">
        <f>'TB_2026'!E9</f>
        <v/>
      </c>
      <c r="G22" s="7">
        <f>'TB_2026'!F9</f>
        <v/>
      </c>
      <c r="H22" s="7">
        <f>G22-F22</f>
        <v/>
      </c>
      <c r="I22" s="8">
        <f>IF(F22=0,"",H22/ABS(F22))</f>
        <v/>
      </c>
      <c r="J22">
        <f>IF(AND(ABS(H22)&gt;Dashboard!$B$7,ISNUMBER(I22),ABS(I22)&gt;Dashboard!$C$7),"FLAG","")</f>
        <v/>
      </c>
    </row>
    <row r="23">
      <c r="A23">
        <f>'TB_2026'!A9</f>
        <v/>
      </c>
      <c r="B23">
        <f>'TB_2026'!B9</f>
        <v/>
      </c>
      <c r="C23">
        <f>'TB_2026'!C9</f>
        <v/>
      </c>
      <c r="D23" t="inlineStr">
        <is>
          <t>Mar</t>
        </is>
      </c>
      <c r="E23" t="inlineStr">
        <is>
          <t>Apr</t>
        </is>
      </c>
      <c r="F23" s="7">
        <f>'TB_2026'!F9</f>
        <v/>
      </c>
      <c r="G23" s="7">
        <f>'TB_2026'!G9</f>
        <v/>
      </c>
      <c r="H23" s="7">
        <f>G23-F23</f>
        <v/>
      </c>
      <c r="I23" s="8">
        <f>IF(F23=0,"",H23/ABS(F23))</f>
        <v/>
      </c>
      <c r="J23">
        <f>IF(AND(ABS(H23)&gt;Dashboard!$B$7,ISNUMBER(I23),ABS(I23)&gt;Dashboard!$C$7),"FLAG","")</f>
        <v/>
      </c>
    </row>
    <row r="24">
      <c r="A24">
        <f>'TB_2026'!A10</f>
        <v/>
      </c>
      <c r="B24">
        <f>'TB_2026'!B10</f>
        <v/>
      </c>
      <c r="C24">
        <f>'TB_2026'!C10</f>
        <v/>
      </c>
      <c r="D24" t="inlineStr">
        <is>
          <t>Jan</t>
        </is>
      </c>
      <c r="E24" t="inlineStr">
        <is>
          <t>Feb</t>
        </is>
      </c>
      <c r="F24" s="7">
        <f>'TB_2026'!D10</f>
        <v/>
      </c>
      <c r="G24" s="7">
        <f>'TB_2026'!E10</f>
        <v/>
      </c>
      <c r="H24" s="7">
        <f>G24-F24</f>
        <v/>
      </c>
      <c r="I24" s="8">
        <f>IF(F24=0,"",H24/ABS(F24))</f>
        <v/>
      </c>
      <c r="J24">
        <f>IF(AND(ABS(H24)&gt;Dashboard!$B$7,ISNUMBER(I24),ABS(I24)&gt;Dashboard!$C$7),"FLAG","")</f>
        <v/>
      </c>
    </row>
    <row r="25">
      <c r="A25">
        <f>'TB_2026'!A10</f>
        <v/>
      </c>
      <c r="B25">
        <f>'TB_2026'!B10</f>
        <v/>
      </c>
      <c r="C25">
        <f>'TB_2026'!C10</f>
        <v/>
      </c>
      <c r="D25" t="inlineStr">
        <is>
          <t>Feb</t>
        </is>
      </c>
      <c r="E25" t="inlineStr">
        <is>
          <t>Mar</t>
        </is>
      </c>
      <c r="F25" s="7">
        <f>'TB_2026'!E10</f>
        <v/>
      </c>
      <c r="G25" s="7">
        <f>'TB_2026'!F10</f>
        <v/>
      </c>
      <c r="H25" s="7">
        <f>G25-F25</f>
        <v/>
      </c>
      <c r="I25" s="8">
        <f>IF(F25=0,"",H25/ABS(F25))</f>
        <v/>
      </c>
      <c r="J25">
        <f>IF(AND(ABS(H25)&gt;Dashboard!$B$7,ISNUMBER(I25),ABS(I25)&gt;Dashboard!$C$7),"FLAG","")</f>
        <v/>
      </c>
    </row>
    <row r="26">
      <c r="A26">
        <f>'TB_2026'!A10</f>
        <v/>
      </c>
      <c r="B26">
        <f>'TB_2026'!B10</f>
        <v/>
      </c>
      <c r="C26">
        <f>'TB_2026'!C10</f>
        <v/>
      </c>
      <c r="D26" t="inlineStr">
        <is>
          <t>Mar</t>
        </is>
      </c>
      <c r="E26" t="inlineStr">
        <is>
          <t>Apr</t>
        </is>
      </c>
      <c r="F26" s="7">
        <f>'TB_2026'!F10</f>
        <v/>
      </c>
      <c r="G26" s="7">
        <f>'TB_2026'!G10</f>
        <v/>
      </c>
      <c r="H26" s="7">
        <f>G26-F26</f>
        <v/>
      </c>
      <c r="I26" s="8">
        <f>IF(F26=0,"",H26/ABS(F26))</f>
        <v/>
      </c>
      <c r="J26">
        <f>IF(AND(ABS(H26)&gt;Dashboard!$B$7,ISNUMBER(I26),ABS(I26)&gt;Dashboard!$C$7),"FLAG","")</f>
        <v/>
      </c>
    </row>
    <row r="27">
      <c r="A27">
        <f>'TB_2026'!A11</f>
        <v/>
      </c>
      <c r="B27">
        <f>'TB_2026'!B11</f>
        <v/>
      </c>
      <c r="C27">
        <f>'TB_2026'!C11</f>
        <v/>
      </c>
      <c r="D27" t="inlineStr">
        <is>
          <t>Jan</t>
        </is>
      </c>
      <c r="E27" t="inlineStr">
        <is>
          <t>Feb</t>
        </is>
      </c>
      <c r="F27" s="7">
        <f>'TB_2026'!D11</f>
        <v/>
      </c>
      <c r="G27" s="7">
        <f>'TB_2026'!E11</f>
        <v/>
      </c>
      <c r="H27" s="7">
        <f>G27-F27</f>
        <v/>
      </c>
      <c r="I27" s="8">
        <f>IF(F27=0,"",H27/ABS(F27))</f>
        <v/>
      </c>
      <c r="J27">
        <f>IF(AND(ABS(H27)&gt;Dashboard!$B$7,ISNUMBER(I27),ABS(I27)&gt;Dashboard!$C$7),"FLAG","")</f>
        <v/>
      </c>
    </row>
    <row r="28">
      <c r="A28">
        <f>'TB_2026'!A11</f>
        <v/>
      </c>
      <c r="B28">
        <f>'TB_2026'!B11</f>
        <v/>
      </c>
      <c r="C28">
        <f>'TB_2026'!C11</f>
        <v/>
      </c>
      <c r="D28" t="inlineStr">
        <is>
          <t>Feb</t>
        </is>
      </c>
      <c r="E28" t="inlineStr">
        <is>
          <t>Mar</t>
        </is>
      </c>
      <c r="F28" s="7">
        <f>'TB_2026'!E11</f>
        <v/>
      </c>
      <c r="G28" s="7">
        <f>'TB_2026'!F11</f>
        <v/>
      </c>
      <c r="H28" s="7">
        <f>G28-F28</f>
        <v/>
      </c>
      <c r="I28" s="8">
        <f>IF(F28=0,"",H28/ABS(F28))</f>
        <v/>
      </c>
      <c r="J28">
        <f>IF(AND(ABS(H28)&gt;Dashboard!$B$7,ISNUMBER(I28),ABS(I28)&gt;Dashboard!$C$7),"FLAG","")</f>
        <v/>
      </c>
    </row>
    <row r="29">
      <c r="A29">
        <f>'TB_2026'!A11</f>
        <v/>
      </c>
      <c r="B29">
        <f>'TB_2026'!B11</f>
        <v/>
      </c>
      <c r="C29">
        <f>'TB_2026'!C11</f>
        <v/>
      </c>
      <c r="D29" t="inlineStr">
        <is>
          <t>Mar</t>
        </is>
      </c>
      <c r="E29" t="inlineStr">
        <is>
          <t>Apr</t>
        </is>
      </c>
      <c r="F29" s="7">
        <f>'TB_2026'!F11</f>
        <v/>
      </c>
      <c r="G29" s="7">
        <f>'TB_2026'!G11</f>
        <v/>
      </c>
      <c r="H29" s="7">
        <f>G29-F29</f>
        <v/>
      </c>
      <c r="I29" s="8">
        <f>IF(F29=0,"",H29/ABS(F29))</f>
        <v/>
      </c>
      <c r="J29">
        <f>IF(AND(ABS(H29)&gt;Dashboard!$B$7,ISNUMBER(I29),ABS(I29)&gt;Dashboard!$C$7),"FLAG","")</f>
        <v/>
      </c>
    </row>
    <row r="30">
      <c r="A30">
        <f>'TB_2026'!A12</f>
        <v/>
      </c>
      <c r="B30">
        <f>'TB_2026'!B12</f>
        <v/>
      </c>
      <c r="C30">
        <f>'TB_2026'!C12</f>
        <v/>
      </c>
      <c r="D30" t="inlineStr">
        <is>
          <t>Jan</t>
        </is>
      </c>
      <c r="E30" t="inlineStr">
        <is>
          <t>Feb</t>
        </is>
      </c>
      <c r="F30" s="7">
        <f>'TB_2026'!D12</f>
        <v/>
      </c>
      <c r="G30" s="7">
        <f>'TB_2026'!E12</f>
        <v/>
      </c>
      <c r="H30" s="7">
        <f>G30-F30</f>
        <v/>
      </c>
      <c r="I30" s="8">
        <f>IF(F30=0,"",H30/ABS(F30))</f>
        <v/>
      </c>
      <c r="J30">
        <f>IF(AND(ABS(H30)&gt;Dashboard!$B$7,ISNUMBER(I30),ABS(I30)&gt;Dashboard!$C$7),"FLAG","")</f>
        <v/>
      </c>
    </row>
    <row r="31">
      <c r="A31">
        <f>'TB_2026'!A12</f>
        <v/>
      </c>
      <c r="B31">
        <f>'TB_2026'!B12</f>
        <v/>
      </c>
      <c r="C31">
        <f>'TB_2026'!C12</f>
        <v/>
      </c>
      <c r="D31" t="inlineStr">
        <is>
          <t>Feb</t>
        </is>
      </c>
      <c r="E31" t="inlineStr">
        <is>
          <t>Mar</t>
        </is>
      </c>
      <c r="F31" s="7">
        <f>'TB_2026'!E12</f>
        <v/>
      </c>
      <c r="G31" s="7">
        <f>'TB_2026'!F12</f>
        <v/>
      </c>
      <c r="H31" s="7">
        <f>G31-F31</f>
        <v/>
      </c>
      <c r="I31" s="8">
        <f>IF(F31=0,"",H31/ABS(F31))</f>
        <v/>
      </c>
      <c r="J31">
        <f>IF(AND(ABS(H31)&gt;Dashboard!$B$7,ISNUMBER(I31),ABS(I31)&gt;Dashboard!$C$7),"FLAG","")</f>
        <v/>
      </c>
    </row>
    <row r="32">
      <c r="A32">
        <f>'TB_2026'!A12</f>
        <v/>
      </c>
      <c r="B32">
        <f>'TB_2026'!B12</f>
        <v/>
      </c>
      <c r="C32">
        <f>'TB_2026'!C12</f>
        <v/>
      </c>
      <c r="D32" t="inlineStr">
        <is>
          <t>Mar</t>
        </is>
      </c>
      <c r="E32" t="inlineStr">
        <is>
          <t>Apr</t>
        </is>
      </c>
      <c r="F32" s="7">
        <f>'TB_2026'!F12</f>
        <v/>
      </c>
      <c r="G32" s="7">
        <f>'TB_2026'!G12</f>
        <v/>
      </c>
      <c r="H32" s="7">
        <f>G32-F32</f>
        <v/>
      </c>
      <c r="I32" s="8">
        <f>IF(F32=0,"",H32/ABS(F32))</f>
        <v/>
      </c>
      <c r="J32">
        <f>IF(AND(ABS(H32)&gt;Dashboard!$B$7,ISNUMBER(I32),ABS(I32)&gt;Dashboard!$C$7),"FLAG","")</f>
        <v/>
      </c>
    </row>
    <row r="33">
      <c r="A33">
        <f>'TB_2026'!A13</f>
        <v/>
      </c>
      <c r="B33">
        <f>'TB_2026'!B13</f>
        <v/>
      </c>
      <c r="C33">
        <f>'TB_2026'!C13</f>
        <v/>
      </c>
      <c r="D33" t="inlineStr">
        <is>
          <t>Jan</t>
        </is>
      </c>
      <c r="E33" t="inlineStr">
        <is>
          <t>Feb</t>
        </is>
      </c>
      <c r="F33" s="7">
        <f>'TB_2026'!D13</f>
        <v/>
      </c>
      <c r="G33" s="7">
        <f>'TB_2026'!E13</f>
        <v/>
      </c>
      <c r="H33" s="7">
        <f>G33-F33</f>
        <v/>
      </c>
      <c r="I33" s="8">
        <f>IF(F33=0,"",H33/ABS(F33))</f>
        <v/>
      </c>
      <c r="J33">
        <f>IF(AND(ABS(H33)&gt;Dashboard!$B$7,ISNUMBER(I33),ABS(I33)&gt;Dashboard!$C$7),"FLAG","")</f>
        <v/>
      </c>
    </row>
    <row r="34">
      <c r="A34">
        <f>'TB_2026'!A13</f>
        <v/>
      </c>
      <c r="B34">
        <f>'TB_2026'!B13</f>
        <v/>
      </c>
      <c r="C34">
        <f>'TB_2026'!C13</f>
        <v/>
      </c>
      <c r="D34" t="inlineStr">
        <is>
          <t>Feb</t>
        </is>
      </c>
      <c r="E34" t="inlineStr">
        <is>
          <t>Mar</t>
        </is>
      </c>
      <c r="F34" s="7">
        <f>'TB_2026'!E13</f>
        <v/>
      </c>
      <c r="G34" s="7">
        <f>'TB_2026'!F13</f>
        <v/>
      </c>
      <c r="H34" s="7">
        <f>G34-F34</f>
        <v/>
      </c>
      <c r="I34" s="8">
        <f>IF(F34=0,"",H34/ABS(F34))</f>
        <v/>
      </c>
      <c r="J34">
        <f>IF(AND(ABS(H34)&gt;Dashboard!$B$7,ISNUMBER(I34),ABS(I34)&gt;Dashboard!$C$7),"FLAG","")</f>
        <v/>
      </c>
    </row>
    <row r="35">
      <c r="A35">
        <f>'TB_2026'!A13</f>
        <v/>
      </c>
      <c r="B35">
        <f>'TB_2026'!B13</f>
        <v/>
      </c>
      <c r="C35">
        <f>'TB_2026'!C13</f>
        <v/>
      </c>
      <c r="D35" t="inlineStr">
        <is>
          <t>Mar</t>
        </is>
      </c>
      <c r="E35" t="inlineStr">
        <is>
          <t>Apr</t>
        </is>
      </c>
      <c r="F35" s="7">
        <f>'TB_2026'!F13</f>
        <v/>
      </c>
      <c r="G35" s="7">
        <f>'TB_2026'!G13</f>
        <v/>
      </c>
      <c r="H35" s="7">
        <f>G35-F35</f>
        <v/>
      </c>
      <c r="I35" s="8">
        <f>IF(F35=0,"",H35/ABS(F35))</f>
        <v/>
      </c>
      <c r="J35">
        <f>IF(AND(ABS(H35)&gt;Dashboard!$B$7,ISNUMBER(I35),ABS(I35)&gt;Dashboard!$C$7),"FLAG","")</f>
        <v/>
      </c>
    </row>
    <row r="36">
      <c r="A36">
        <f>'TB_2026'!A14</f>
        <v/>
      </c>
      <c r="B36">
        <f>'TB_2026'!B14</f>
        <v/>
      </c>
      <c r="C36">
        <f>'TB_2026'!C14</f>
        <v/>
      </c>
      <c r="D36" t="inlineStr">
        <is>
          <t>Jan</t>
        </is>
      </c>
      <c r="E36" t="inlineStr">
        <is>
          <t>Feb</t>
        </is>
      </c>
      <c r="F36" s="7">
        <f>'TB_2026'!D14</f>
        <v/>
      </c>
      <c r="G36" s="7">
        <f>'TB_2026'!E14</f>
        <v/>
      </c>
      <c r="H36" s="7">
        <f>G36-F36</f>
        <v/>
      </c>
      <c r="I36" s="8">
        <f>IF(F36=0,"",H36/ABS(F36))</f>
        <v/>
      </c>
      <c r="J36">
        <f>IF(AND(ABS(H36)&gt;Dashboard!$B$7,ISNUMBER(I36),ABS(I36)&gt;Dashboard!$C$7),"FLAG","")</f>
        <v/>
      </c>
    </row>
    <row r="37">
      <c r="A37">
        <f>'TB_2026'!A14</f>
        <v/>
      </c>
      <c r="B37">
        <f>'TB_2026'!B14</f>
        <v/>
      </c>
      <c r="C37">
        <f>'TB_2026'!C14</f>
        <v/>
      </c>
      <c r="D37" t="inlineStr">
        <is>
          <t>Feb</t>
        </is>
      </c>
      <c r="E37" t="inlineStr">
        <is>
          <t>Mar</t>
        </is>
      </c>
      <c r="F37" s="7">
        <f>'TB_2026'!E14</f>
        <v/>
      </c>
      <c r="G37" s="7">
        <f>'TB_2026'!F14</f>
        <v/>
      </c>
      <c r="H37" s="7">
        <f>G37-F37</f>
        <v/>
      </c>
      <c r="I37" s="8">
        <f>IF(F37=0,"",H37/ABS(F37))</f>
        <v/>
      </c>
      <c r="J37">
        <f>IF(AND(ABS(H37)&gt;Dashboard!$B$7,ISNUMBER(I37),ABS(I37)&gt;Dashboard!$C$7),"FLAG","")</f>
        <v/>
      </c>
    </row>
    <row r="38">
      <c r="A38">
        <f>'TB_2026'!A14</f>
        <v/>
      </c>
      <c r="B38">
        <f>'TB_2026'!B14</f>
        <v/>
      </c>
      <c r="C38">
        <f>'TB_2026'!C14</f>
        <v/>
      </c>
      <c r="D38" t="inlineStr">
        <is>
          <t>Mar</t>
        </is>
      </c>
      <c r="E38" t="inlineStr">
        <is>
          <t>Apr</t>
        </is>
      </c>
      <c r="F38" s="7">
        <f>'TB_2026'!F14</f>
        <v/>
      </c>
      <c r="G38" s="7">
        <f>'TB_2026'!G14</f>
        <v/>
      </c>
      <c r="H38" s="7">
        <f>G38-F38</f>
        <v/>
      </c>
      <c r="I38" s="8">
        <f>IF(F38=0,"",H38/ABS(F38))</f>
        <v/>
      </c>
      <c r="J38">
        <f>IF(AND(ABS(H38)&gt;Dashboard!$B$7,ISNUMBER(I38),ABS(I38)&gt;Dashboard!$C$7),"FLAG","")</f>
        <v/>
      </c>
    </row>
    <row r="39">
      <c r="A39">
        <f>'TB_2026'!A15</f>
        <v/>
      </c>
      <c r="B39">
        <f>'TB_2026'!B15</f>
        <v/>
      </c>
      <c r="C39">
        <f>'TB_2026'!C15</f>
        <v/>
      </c>
      <c r="D39" t="inlineStr">
        <is>
          <t>Jan</t>
        </is>
      </c>
      <c r="E39" t="inlineStr">
        <is>
          <t>Feb</t>
        </is>
      </c>
      <c r="F39" s="7">
        <f>'TB_2026'!D15</f>
        <v/>
      </c>
      <c r="G39" s="7">
        <f>'TB_2026'!E15</f>
        <v/>
      </c>
      <c r="H39" s="7">
        <f>G39-F39</f>
        <v/>
      </c>
      <c r="I39" s="8">
        <f>IF(F39=0,"",H39/ABS(F39))</f>
        <v/>
      </c>
      <c r="J39">
        <f>IF(AND(ABS(H39)&gt;Dashboard!$B$7,ISNUMBER(I39),ABS(I39)&gt;Dashboard!$C$7),"FLAG","")</f>
        <v/>
      </c>
    </row>
    <row r="40">
      <c r="A40">
        <f>'TB_2026'!A15</f>
        <v/>
      </c>
      <c r="B40">
        <f>'TB_2026'!B15</f>
        <v/>
      </c>
      <c r="C40">
        <f>'TB_2026'!C15</f>
        <v/>
      </c>
      <c r="D40" t="inlineStr">
        <is>
          <t>Feb</t>
        </is>
      </c>
      <c r="E40" t="inlineStr">
        <is>
          <t>Mar</t>
        </is>
      </c>
      <c r="F40" s="7">
        <f>'TB_2026'!E15</f>
        <v/>
      </c>
      <c r="G40" s="7">
        <f>'TB_2026'!F15</f>
        <v/>
      </c>
      <c r="H40" s="7">
        <f>G40-F40</f>
        <v/>
      </c>
      <c r="I40" s="8">
        <f>IF(F40=0,"",H40/ABS(F40))</f>
        <v/>
      </c>
      <c r="J40">
        <f>IF(AND(ABS(H40)&gt;Dashboard!$B$7,ISNUMBER(I40),ABS(I40)&gt;Dashboard!$C$7),"FLAG","")</f>
        <v/>
      </c>
    </row>
    <row r="41">
      <c r="A41">
        <f>'TB_2026'!A15</f>
        <v/>
      </c>
      <c r="B41">
        <f>'TB_2026'!B15</f>
        <v/>
      </c>
      <c r="C41">
        <f>'TB_2026'!C15</f>
        <v/>
      </c>
      <c r="D41" t="inlineStr">
        <is>
          <t>Mar</t>
        </is>
      </c>
      <c r="E41" t="inlineStr">
        <is>
          <t>Apr</t>
        </is>
      </c>
      <c r="F41" s="7">
        <f>'TB_2026'!F15</f>
        <v/>
      </c>
      <c r="G41" s="7">
        <f>'TB_2026'!G15</f>
        <v/>
      </c>
      <c r="H41" s="7">
        <f>G41-F41</f>
        <v/>
      </c>
      <c r="I41" s="8">
        <f>IF(F41=0,"",H41/ABS(F41))</f>
        <v/>
      </c>
      <c r="J41">
        <f>IF(AND(ABS(H41)&gt;Dashboard!$B$7,ISNUMBER(I41),ABS(I41)&gt;Dashboard!$C$7),"FLAG","")</f>
        <v/>
      </c>
    </row>
    <row r="42">
      <c r="A42">
        <f>'TB_2026'!A16</f>
        <v/>
      </c>
      <c r="B42">
        <f>'TB_2026'!B16</f>
        <v/>
      </c>
      <c r="C42">
        <f>'TB_2026'!C16</f>
        <v/>
      </c>
      <c r="D42" t="inlineStr">
        <is>
          <t>Jan</t>
        </is>
      </c>
      <c r="E42" t="inlineStr">
        <is>
          <t>Feb</t>
        </is>
      </c>
      <c r="F42" s="7">
        <f>'TB_2026'!D16</f>
        <v/>
      </c>
      <c r="G42" s="7">
        <f>'TB_2026'!E16</f>
        <v/>
      </c>
      <c r="H42" s="7">
        <f>G42-F42</f>
        <v/>
      </c>
      <c r="I42" s="8">
        <f>IF(F42=0,"",H42/ABS(F42))</f>
        <v/>
      </c>
      <c r="J42">
        <f>IF(AND(ABS(H42)&gt;Dashboard!$B$7,ISNUMBER(I42),ABS(I42)&gt;Dashboard!$C$7),"FLAG","")</f>
        <v/>
      </c>
    </row>
    <row r="43">
      <c r="A43">
        <f>'TB_2026'!A16</f>
        <v/>
      </c>
      <c r="B43">
        <f>'TB_2026'!B16</f>
        <v/>
      </c>
      <c r="C43">
        <f>'TB_2026'!C16</f>
        <v/>
      </c>
      <c r="D43" t="inlineStr">
        <is>
          <t>Feb</t>
        </is>
      </c>
      <c r="E43" t="inlineStr">
        <is>
          <t>Mar</t>
        </is>
      </c>
      <c r="F43" s="7">
        <f>'TB_2026'!E16</f>
        <v/>
      </c>
      <c r="G43" s="7">
        <f>'TB_2026'!F16</f>
        <v/>
      </c>
      <c r="H43" s="7">
        <f>G43-F43</f>
        <v/>
      </c>
      <c r="I43" s="8">
        <f>IF(F43=0,"",H43/ABS(F43))</f>
        <v/>
      </c>
      <c r="J43">
        <f>IF(AND(ABS(H43)&gt;Dashboard!$B$7,ISNUMBER(I43),ABS(I43)&gt;Dashboard!$C$7),"FLAG","")</f>
        <v/>
      </c>
    </row>
    <row r="44">
      <c r="A44">
        <f>'TB_2026'!A16</f>
        <v/>
      </c>
      <c r="B44">
        <f>'TB_2026'!B16</f>
        <v/>
      </c>
      <c r="C44">
        <f>'TB_2026'!C16</f>
        <v/>
      </c>
      <c r="D44" t="inlineStr">
        <is>
          <t>Mar</t>
        </is>
      </c>
      <c r="E44" t="inlineStr">
        <is>
          <t>Apr</t>
        </is>
      </c>
      <c r="F44" s="7">
        <f>'TB_2026'!F16</f>
        <v/>
      </c>
      <c r="G44" s="7">
        <f>'TB_2026'!G16</f>
        <v/>
      </c>
      <c r="H44" s="7">
        <f>G44-F44</f>
        <v/>
      </c>
      <c r="I44" s="8">
        <f>IF(F44=0,"",H44/ABS(F44))</f>
        <v/>
      </c>
      <c r="J44">
        <f>IF(AND(ABS(H44)&gt;Dashboard!$B$7,ISNUMBER(I44),ABS(I44)&gt;Dashboard!$C$7),"FLAG","")</f>
        <v/>
      </c>
    </row>
    <row r="45">
      <c r="A45">
        <f>'TB_2026'!A17</f>
        <v/>
      </c>
      <c r="B45">
        <f>'TB_2026'!B17</f>
        <v/>
      </c>
      <c r="C45">
        <f>'TB_2026'!C17</f>
        <v/>
      </c>
      <c r="D45" t="inlineStr">
        <is>
          <t>Jan</t>
        </is>
      </c>
      <c r="E45" t="inlineStr">
        <is>
          <t>Feb</t>
        </is>
      </c>
      <c r="F45" s="7">
        <f>'TB_2026'!D17</f>
        <v/>
      </c>
      <c r="G45" s="7">
        <f>'TB_2026'!E17</f>
        <v/>
      </c>
      <c r="H45" s="7">
        <f>G45-F45</f>
        <v/>
      </c>
      <c r="I45" s="8">
        <f>IF(F45=0,"",H45/ABS(F45))</f>
        <v/>
      </c>
      <c r="J45">
        <f>IF(AND(ABS(H45)&gt;Dashboard!$B$7,ISNUMBER(I45),ABS(I45)&gt;Dashboard!$C$7),"FLAG","")</f>
        <v/>
      </c>
    </row>
    <row r="46">
      <c r="A46">
        <f>'TB_2026'!A17</f>
        <v/>
      </c>
      <c r="B46">
        <f>'TB_2026'!B17</f>
        <v/>
      </c>
      <c r="C46">
        <f>'TB_2026'!C17</f>
        <v/>
      </c>
      <c r="D46" t="inlineStr">
        <is>
          <t>Feb</t>
        </is>
      </c>
      <c r="E46" t="inlineStr">
        <is>
          <t>Mar</t>
        </is>
      </c>
      <c r="F46" s="7">
        <f>'TB_2026'!E17</f>
        <v/>
      </c>
      <c r="G46" s="7">
        <f>'TB_2026'!F17</f>
        <v/>
      </c>
      <c r="H46" s="7">
        <f>G46-F46</f>
        <v/>
      </c>
      <c r="I46" s="8">
        <f>IF(F46=0,"",H46/ABS(F46))</f>
        <v/>
      </c>
      <c r="J46">
        <f>IF(AND(ABS(H46)&gt;Dashboard!$B$7,ISNUMBER(I46),ABS(I46)&gt;Dashboard!$C$7),"FLAG","")</f>
        <v/>
      </c>
    </row>
    <row r="47">
      <c r="A47">
        <f>'TB_2026'!A17</f>
        <v/>
      </c>
      <c r="B47">
        <f>'TB_2026'!B17</f>
        <v/>
      </c>
      <c r="C47">
        <f>'TB_2026'!C17</f>
        <v/>
      </c>
      <c r="D47" t="inlineStr">
        <is>
          <t>Mar</t>
        </is>
      </c>
      <c r="E47" t="inlineStr">
        <is>
          <t>Apr</t>
        </is>
      </c>
      <c r="F47" s="7">
        <f>'TB_2026'!F17</f>
        <v/>
      </c>
      <c r="G47" s="7">
        <f>'TB_2026'!G17</f>
        <v/>
      </c>
      <c r="H47" s="7">
        <f>G47-F47</f>
        <v/>
      </c>
      <c r="I47" s="8">
        <f>IF(F47=0,"",H47/ABS(F47))</f>
        <v/>
      </c>
      <c r="J47">
        <f>IF(AND(ABS(H47)&gt;Dashboard!$B$7,ISNUMBER(I47),ABS(I47)&gt;Dashboard!$C$7),"FLAG","")</f>
        <v/>
      </c>
    </row>
    <row r="48">
      <c r="A48">
        <f>'TB_2026'!A18</f>
        <v/>
      </c>
      <c r="B48">
        <f>'TB_2026'!B18</f>
        <v/>
      </c>
      <c r="C48">
        <f>'TB_2026'!C18</f>
        <v/>
      </c>
      <c r="D48" t="inlineStr">
        <is>
          <t>Jan</t>
        </is>
      </c>
      <c r="E48" t="inlineStr">
        <is>
          <t>Feb</t>
        </is>
      </c>
      <c r="F48" s="7">
        <f>'TB_2026'!D18</f>
        <v/>
      </c>
      <c r="G48" s="7">
        <f>'TB_2026'!E18</f>
        <v/>
      </c>
      <c r="H48" s="7">
        <f>G48-F48</f>
        <v/>
      </c>
      <c r="I48" s="8">
        <f>IF(F48=0,"",H48/ABS(F48))</f>
        <v/>
      </c>
      <c r="J48">
        <f>IF(AND(ABS(H48)&gt;Dashboard!$B$7,ISNUMBER(I48),ABS(I48)&gt;Dashboard!$C$7),"FLAG","")</f>
        <v/>
      </c>
    </row>
    <row r="49">
      <c r="A49">
        <f>'TB_2026'!A18</f>
        <v/>
      </c>
      <c r="B49">
        <f>'TB_2026'!B18</f>
        <v/>
      </c>
      <c r="C49">
        <f>'TB_2026'!C18</f>
        <v/>
      </c>
      <c r="D49" t="inlineStr">
        <is>
          <t>Feb</t>
        </is>
      </c>
      <c r="E49" t="inlineStr">
        <is>
          <t>Mar</t>
        </is>
      </c>
      <c r="F49" s="7">
        <f>'TB_2026'!E18</f>
        <v/>
      </c>
      <c r="G49" s="7">
        <f>'TB_2026'!F18</f>
        <v/>
      </c>
      <c r="H49" s="7">
        <f>G49-F49</f>
        <v/>
      </c>
      <c r="I49" s="8">
        <f>IF(F49=0,"",H49/ABS(F49))</f>
        <v/>
      </c>
      <c r="J49">
        <f>IF(AND(ABS(H49)&gt;Dashboard!$B$7,ISNUMBER(I49),ABS(I49)&gt;Dashboard!$C$7),"FLAG","")</f>
        <v/>
      </c>
    </row>
    <row r="50">
      <c r="A50">
        <f>'TB_2026'!A18</f>
        <v/>
      </c>
      <c r="B50">
        <f>'TB_2026'!B18</f>
        <v/>
      </c>
      <c r="C50">
        <f>'TB_2026'!C18</f>
        <v/>
      </c>
      <c r="D50" t="inlineStr">
        <is>
          <t>Mar</t>
        </is>
      </c>
      <c r="E50" t="inlineStr">
        <is>
          <t>Apr</t>
        </is>
      </c>
      <c r="F50" s="7">
        <f>'TB_2026'!F18</f>
        <v/>
      </c>
      <c r="G50" s="7">
        <f>'TB_2026'!G18</f>
        <v/>
      </c>
      <c r="H50" s="7">
        <f>G50-F50</f>
        <v/>
      </c>
      <c r="I50" s="8">
        <f>IF(F50=0,"",H50/ABS(F50))</f>
        <v/>
      </c>
      <c r="J50">
        <f>IF(AND(ABS(H50)&gt;Dashboard!$B$7,ISNUMBER(I50),ABS(I50)&gt;Dashboard!$C$7),"FLAG","")</f>
        <v/>
      </c>
    </row>
    <row r="51">
      <c r="A51">
        <f>'TB_2026'!A19</f>
        <v/>
      </c>
      <c r="B51">
        <f>'TB_2026'!B19</f>
        <v/>
      </c>
      <c r="C51">
        <f>'TB_2026'!C19</f>
        <v/>
      </c>
      <c r="D51" t="inlineStr">
        <is>
          <t>Jan</t>
        </is>
      </c>
      <c r="E51" t="inlineStr">
        <is>
          <t>Feb</t>
        </is>
      </c>
      <c r="F51" s="7">
        <f>'TB_2026'!D19</f>
        <v/>
      </c>
      <c r="G51" s="7">
        <f>'TB_2026'!E19</f>
        <v/>
      </c>
      <c r="H51" s="7">
        <f>G51-F51</f>
        <v/>
      </c>
      <c r="I51" s="8">
        <f>IF(F51=0,"",H51/ABS(F51))</f>
        <v/>
      </c>
      <c r="J51">
        <f>IF(AND(ABS(H51)&gt;Dashboard!$B$7,ISNUMBER(I51),ABS(I51)&gt;Dashboard!$C$7),"FLAG","")</f>
        <v/>
      </c>
    </row>
    <row r="52">
      <c r="A52">
        <f>'TB_2026'!A19</f>
        <v/>
      </c>
      <c r="B52">
        <f>'TB_2026'!B19</f>
        <v/>
      </c>
      <c r="C52">
        <f>'TB_2026'!C19</f>
        <v/>
      </c>
      <c r="D52" t="inlineStr">
        <is>
          <t>Feb</t>
        </is>
      </c>
      <c r="E52" t="inlineStr">
        <is>
          <t>Mar</t>
        </is>
      </c>
      <c r="F52" s="7">
        <f>'TB_2026'!E19</f>
        <v/>
      </c>
      <c r="G52" s="7">
        <f>'TB_2026'!F19</f>
        <v/>
      </c>
      <c r="H52" s="7">
        <f>G52-F52</f>
        <v/>
      </c>
      <c r="I52" s="8">
        <f>IF(F52=0,"",H52/ABS(F52))</f>
        <v/>
      </c>
      <c r="J52">
        <f>IF(AND(ABS(H52)&gt;Dashboard!$B$7,ISNUMBER(I52),ABS(I52)&gt;Dashboard!$C$7),"FLAG","")</f>
        <v/>
      </c>
    </row>
    <row r="53">
      <c r="A53">
        <f>'TB_2026'!A19</f>
        <v/>
      </c>
      <c r="B53">
        <f>'TB_2026'!B19</f>
        <v/>
      </c>
      <c r="C53">
        <f>'TB_2026'!C19</f>
        <v/>
      </c>
      <c r="D53" t="inlineStr">
        <is>
          <t>Mar</t>
        </is>
      </c>
      <c r="E53" t="inlineStr">
        <is>
          <t>Apr</t>
        </is>
      </c>
      <c r="F53" s="7">
        <f>'TB_2026'!F19</f>
        <v/>
      </c>
      <c r="G53" s="7">
        <f>'TB_2026'!G19</f>
        <v/>
      </c>
      <c r="H53" s="7">
        <f>G53-F53</f>
        <v/>
      </c>
      <c r="I53" s="8">
        <f>IF(F53=0,"",H53/ABS(F53))</f>
        <v/>
      </c>
      <c r="J53">
        <f>IF(AND(ABS(H53)&gt;Dashboard!$B$7,ISNUMBER(I53),ABS(I53)&gt;Dashboard!$C$7),"FLAG","")</f>
        <v/>
      </c>
    </row>
    <row r="54">
      <c r="A54">
        <f>'TB_2026'!A20</f>
        <v/>
      </c>
      <c r="B54">
        <f>'TB_2026'!B20</f>
        <v/>
      </c>
      <c r="C54">
        <f>'TB_2026'!C20</f>
        <v/>
      </c>
      <c r="D54" t="inlineStr">
        <is>
          <t>Jan</t>
        </is>
      </c>
      <c r="E54" t="inlineStr">
        <is>
          <t>Feb</t>
        </is>
      </c>
      <c r="F54" s="7">
        <f>'TB_2026'!D20</f>
        <v/>
      </c>
      <c r="G54" s="7">
        <f>'TB_2026'!E20</f>
        <v/>
      </c>
      <c r="H54" s="7">
        <f>G54-F54</f>
        <v/>
      </c>
      <c r="I54" s="8">
        <f>IF(F54=0,"",H54/ABS(F54))</f>
        <v/>
      </c>
      <c r="J54">
        <f>IF(AND(ABS(H54)&gt;Dashboard!$B$7,ISNUMBER(I54),ABS(I54)&gt;Dashboard!$C$7),"FLAG","")</f>
        <v/>
      </c>
    </row>
    <row r="55">
      <c r="A55">
        <f>'TB_2026'!A20</f>
        <v/>
      </c>
      <c r="B55">
        <f>'TB_2026'!B20</f>
        <v/>
      </c>
      <c r="C55">
        <f>'TB_2026'!C20</f>
        <v/>
      </c>
      <c r="D55" t="inlineStr">
        <is>
          <t>Feb</t>
        </is>
      </c>
      <c r="E55" t="inlineStr">
        <is>
          <t>Mar</t>
        </is>
      </c>
      <c r="F55" s="7">
        <f>'TB_2026'!E20</f>
        <v/>
      </c>
      <c r="G55" s="7">
        <f>'TB_2026'!F20</f>
        <v/>
      </c>
      <c r="H55" s="7">
        <f>G55-F55</f>
        <v/>
      </c>
      <c r="I55" s="8">
        <f>IF(F55=0,"",H55/ABS(F55))</f>
        <v/>
      </c>
      <c r="J55">
        <f>IF(AND(ABS(H55)&gt;Dashboard!$B$7,ISNUMBER(I55),ABS(I55)&gt;Dashboard!$C$7),"FLAG","")</f>
        <v/>
      </c>
    </row>
    <row r="56">
      <c r="A56">
        <f>'TB_2026'!A20</f>
        <v/>
      </c>
      <c r="B56">
        <f>'TB_2026'!B20</f>
        <v/>
      </c>
      <c r="C56">
        <f>'TB_2026'!C20</f>
        <v/>
      </c>
      <c r="D56" t="inlineStr">
        <is>
          <t>Mar</t>
        </is>
      </c>
      <c r="E56" t="inlineStr">
        <is>
          <t>Apr</t>
        </is>
      </c>
      <c r="F56" s="7">
        <f>'TB_2026'!F20</f>
        <v/>
      </c>
      <c r="G56" s="7">
        <f>'TB_2026'!G20</f>
        <v/>
      </c>
      <c r="H56" s="7">
        <f>G56-F56</f>
        <v/>
      </c>
      <c r="I56" s="8">
        <f>IF(F56=0,"",H56/ABS(F56))</f>
        <v/>
      </c>
      <c r="J56">
        <f>IF(AND(ABS(H56)&gt;Dashboard!$B$7,ISNUMBER(I56),ABS(I56)&gt;Dashboard!$C$7),"FLAG","")</f>
        <v/>
      </c>
    </row>
    <row r="57">
      <c r="A57">
        <f>'TB_2026'!A21</f>
        <v/>
      </c>
      <c r="B57">
        <f>'TB_2026'!B21</f>
        <v/>
      </c>
      <c r="C57">
        <f>'TB_2026'!C21</f>
        <v/>
      </c>
      <c r="D57" t="inlineStr">
        <is>
          <t>Jan</t>
        </is>
      </c>
      <c r="E57" t="inlineStr">
        <is>
          <t>Feb</t>
        </is>
      </c>
      <c r="F57" s="7">
        <f>'TB_2026'!D21</f>
        <v/>
      </c>
      <c r="G57" s="7">
        <f>'TB_2026'!E21</f>
        <v/>
      </c>
      <c r="H57" s="7">
        <f>G57-F57</f>
        <v/>
      </c>
      <c r="I57" s="8">
        <f>IF(F57=0,"",H57/ABS(F57))</f>
        <v/>
      </c>
      <c r="J57">
        <f>IF(AND(ABS(H57)&gt;Dashboard!$B$7,ISNUMBER(I57),ABS(I57)&gt;Dashboard!$C$7),"FLAG","")</f>
        <v/>
      </c>
    </row>
    <row r="58">
      <c r="A58">
        <f>'TB_2026'!A21</f>
        <v/>
      </c>
      <c r="B58">
        <f>'TB_2026'!B21</f>
        <v/>
      </c>
      <c r="C58">
        <f>'TB_2026'!C21</f>
        <v/>
      </c>
      <c r="D58" t="inlineStr">
        <is>
          <t>Feb</t>
        </is>
      </c>
      <c r="E58" t="inlineStr">
        <is>
          <t>Mar</t>
        </is>
      </c>
      <c r="F58" s="7">
        <f>'TB_2026'!E21</f>
        <v/>
      </c>
      <c r="G58" s="7">
        <f>'TB_2026'!F21</f>
        <v/>
      </c>
      <c r="H58" s="7">
        <f>G58-F58</f>
        <v/>
      </c>
      <c r="I58" s="8">
        <f>IF(F58=0,"",H58/ABS(F58))</f>
        <v/>
      </c>
      <c r="J58">
        <f>IF(AND(ABS(H58)&gt;Dashboard!$B$7,ISNUMBER(I58),ABS(I58)&gt;Dashboard!$C$7),"FLAG","")</f>
        <v/>
      </c>
    </row>
    <row r="59">
      <c r="A59">
        <f>'TB_2026'!A21</f>
        <v/>
      </c>
      <c r="B59">
        <f>'TB_2026'!B21</f>
        <v/>
      </c>
      <c r="C59">
        <f>'TB_2026'!C21</f>
        <v/>
      </c>
      <c r="D59" t="inlineStr">
        <is>
          <t>Mar</t>
        </is>
      </c>
      <c r="E59" t="inlineStr">
        <is>
          <t>Apr</t>
        </is>
      </c>
      <c r="F59" s="7">
        <f>'TB_2026'!F21</f>
        <v/>
      </c>
      <c r="G59" s="7">
        <f>'TB_2026'!G21</f>
        <v/>
      </c>
      <c r="H59" s="7">
        <f>G59-F59</f>
        <v/>
      </c>
      <c r="I59" s="8">
        <f>IF(F59=0,"",H59/ABS(F59))</f>
        <v/>
      </c>
      <c r="J59">
        <f>IF(AND(ABS(H59)&gt;Dashboard!$B$7,ISNUMBER(I59),ABS(I59)&gt;Dashboard!$C$7),"FLAG","")</f>
        <v/>
      </c>
    </row>
    <row r="60">
      <c r="A60">
        <f>'TB_2026'!A22</f>
        <v/>
      </c>
      <c r="B60">
        <f>'TB_2026'!B22</f>
        <v/>
      </c>
      <c r="C60">
        <f>'TB_2026'!C22</f>
        <v/>
      </c>
      <c r="D60" t="inlineStr">
        <is>
          <t>Jan</t>
        </is>
      </c>
      <c r="E60" t="inlineStr">
        <is>
          <t>Feb</t>
        </is>
      </c>
      <c r="F60" s="7">
        <f>'TB_2026'!D22</f>
        <v/>
      </c>
      <c r="G60" s="7">
        <f>'TB_2026'!E22</f>
        <v/>
      </c>
      <c r="H60" s="7">
        <f>G60-F60</f>
        <v/>
      </c>
      <c r="I60" s="8">
        <f>IF(F60=0,"",H60/ABS(F60))</f>
        <v/>
      </c>
      <c r="J60">
        <f>IF(AND(ABS(H60)&gt;Dashboard!$B$7,ISNUMBER(I60),ABS(I60)&gt;Dashboard!$C$7),"FLAG","")</f>
        <v/>
      </c>
    </row>
    <row r="61">
      <c r="A61">
        <f>'TB_2026'!A22</f>
        <v/>
      </c>
      <c r="B61">
        <f>'TB_2026'!B22</f>
        <v/>
      </c>
      <c r="C61">
        <f>'TB_2026'!C22</f>
        <v/>
      </c>
      <c r="D61" t="inlineStr">
        <is>
          <t>Feb</t>
        </is>
      </c>
      <c r="E61" t="inlineStr">
        <is>
          <t>Mar</t>
        </is>
      </c>
      <c r="F61" s="7">
        <f>'TB_2026'!E22</f>
        <v/>
      </c>
      <c r="G61" s="7">
        <f>'TB_2026'!F22</f>
        <v/>
      </c>
      <c r="H61" s="7">
        <f>G61-F61</f>
        <v/>
      </c>
      <c r="I61" s="8">
        <f>IF(F61=0,"",H61/ABS(F61))</f>
        <v/>
      </c>
      <c r="J61">
        <f>IF(AND(ABS(H61)&gt;Dashboard!$B$7,ISNUMBER(I61),ABS(I61)&gt;Dashboard!$C$7),"FLAG","")</f>
        <v/>
      </c>
    </row>
    <row r="62">
      <c r="A62">
        <f>'TB_2026'!A22</f>
        <v/>
      </c>
      <c r="B62">
        <f>'TB_2026'!B22</f>
        <v/>
      </c>
      <c r="C62">
        <f>'TB_2026'!C22</f>
        <v/>
      </c>
      <c r="D62" t="inlineStr">
        <is>
          <t>Mar</t>
        </is>
      </c>
      <c r="E62" t="inlineStr">
        <is>
          <t>Apr</t>
        </is>
      </c>
      <c r="F62" s="7">
        <f>'TB_2026'!F22</f>
        <v/>
      </c>
      <c r="G62" s="7">
        <f>'TB_2026'!G22</f>
        <v/>
      </c>
      <c r="H62" s="7">
        <f>G62-F62</f>
        <v/>
      </c>
      <c r="I62" s="8">
        <f>IF(F62=0,"",H62/ABS(F62))</f>
        <v/>
      </c>
      <c r="J62">
        <f>IF(AND(ABS(H62)&gt;Dashboard!$B$7,ISNUMBER(I62),ABS(I62)&gt;Dashboard!$C$7),"FLAG","")</f>
        <v/>
      </c>
    </row>
    <row r="63">
      <c r="A63">
        <f>'TB_2026'!A23</f>
        <v/>
      </c>
      <c r="B63">
        <f>'TB_2026'!B23</f>
        <v/>
      </c>
      <c r="C63">
        <f>'TB_2026'!C23</f>
        <v/>
      </c>
      <c r="D63" t="inlineStr">
        <is>
          <t>Jan</t>
        </is>
      </c>
      <c r="E63" t="inlineStr">
        <is>
          <t>Feb</t>
        </is>
      </c>
      <c r="F63" s="7">
        <f>'TB_2026'!D23</f>
        <v/>
      </c>
      <c r="G63" s="7">
        <f>'TB_2026'!E23</f>
        <v/>
      </c>
      <c r="H63" s="7">
        <f>G63-F63</f>
        <v/>
      </c>
      <c r="I63" s="8">
        <f>IF(F63=0,"",H63/ABS(F63))</f>
        <v/>
      </c>
      <c r="J63">
        <f>IF(AND(ABS(H63)&gt;Dashboard!$B$7,ISNUMBER(I63),ABS(I63)&gt;Dashboard!$C$7),"FLAG","")</f>
        <v/>
      </c>
    </row>
    <row r="64">
      <c r="A64">
        <f>'TB_2026'!A23</f>
        <v/>
      </c>
      <c r="B64">
        <f>'TB_2026'!B23</f>
        <v/>
      </c>
      <c r="C64">
        <f>'TB_2026'!C23</f>
        <v/>
      </c>
      <c r="D64" t="inlineStr">
        <is>
          <t>Feb</t>
        </is>
      </c>
      <c r="E64" t="inlineStr">
        <is>
          <t>Mar</t>
        </is>
      </c>
      <c r="F64" s="7">
        <f>'TB_2026'!E23</f>
        <v/>
      </c>
      <c r="G64" s="7">
        <f>'TB_2026'!F23</f>
        <v/>
      </c>
      <c r="H64" s="7">
        <f>G64-F64</f>
        <v/>
      </c>
      <c r="I64" s="8">
        <f>IF(F64=0,"",H64/ABS(F64))</f>
        <v/>
      </c>
      <c r="J64">
        <f>IF(AND(ABS(H64)&gt;Dashboard!$B$7,ISNUMBER(I64),ABS(I64)&gt;Dashboard!$C$7),"FLAG","")</f>
        <v/>
      </c>
    </row>
    <row r="65">
      <c r="A65">
        <f>'TB_2026'!A23</f>
        <v/>
      </c>
      <c r="B65">
        <f>'TB_2026'!B23</f>
        <v/>
      </c>
      <c r="C65">
        <f>'TB_2026'!C23</f>
        <v/>
      </c>
      <c r="D65" t="inlineStr">
        <is>
          <t>Mar</t>
        </is>
      </c>
      <c r="E65" t="inlineStr">
        <is>
          <t>Apr</t>
        </is>
      </c>
      <c r="F65" s="7">
        <f>'TB_2026'!F23</f>
        <v/>
      </c>
      <c r="G65" s="7">
        <f>'TB_2026'!G23</f>
        <v/>
      </c>
      <c r="H65" s="7">
        <f>G65-F65</f>
        <v/>
      </c>
      <c r="I65" s="8">
        <f>IF(F65=0,"",H65/ABS(F65))</f>
        <v/>
      </c>
      <c r="J65">
        <f>IF(AND(ABS(H65)&gt;Dashboard!$B$7,ISNUMBER(I65),ABS(I65)&gt;Dashboard!$C$7),"FLAG","")</f>
        <v/>
      </c>
    </row>
    <row r="66">
      <c r="A66">
        <f>'TB_2026'!A24</f>
        <v/>
      </c>
      <c r="B66">
        <f>'TB_2026'!B24</f>
        <v/>
      </c>
      <c r="C66">
        <f>'TB_2026'!C24</f>
        <v/>
      </c>
      <c r="D66" t="inlineStr">
        <is>
          <t>Jan</t>
        </is>
      </c>
      <c r="E66" t="inlineStr">
        <is>
          <t>Feb</t>
        </is>
      </c>
      <c r="F66" s="7">
        <f>'TB_2026'!D24</f>
        <v/>
      </c>
      <c r="G66" s="7">
        <f>'TB_2026'!E24</f>
        <v/>
      </c>
      <c r="H66" s="7">
        <f>G66-F66</f>
        <v/>
      </c>
      <c r="I66" s="8">
        <f>IF(F66=0,"",H66/ABS(F66))</f>
        <v/>
      </c>
      <c r="J66">
        <f>IF(AND(ABS(H66)&gt;Dashboard!$B$7,ISNUMBER(I66),ABS(I66)&gt;Dashboard!$C$7),"FLAG","")</f>
        <v/>
      </c>
    </row>
    <row r="67">
      <c r="A67">
        <f>'TB_2026'!A24</f>
        <v/>
      </c>
      <c r="B67">
        <f>'TB_2026'!B24</f>
        <v/>
      </c>
      <c r="C67">
        <f>'TB_2026'!C24</f>
        <v/>
      </c>
      <c r="D67" t="inlineStr">
        <is>
          <t>Feb</t>
        </is>
      </c>
      <c r="E67" t="inlineStr">
        <is>
          <t>Mar</t>
        </is>
      </c>
      <c r="F67" s="7">
        <f>'TB_2026'!E24</f>
        <v/>
      </c>
      <c r="G67" s="7">
        <f>'TB_2026'!F24</f>
        <v/>
      </c>
      <c r="H67" s="7">
        <f>G67-F67</f>
        <v/>
      </c>
      <c r="I67" s="8">
        <f>IF(F67=0,"",H67/ABS(F67))</f>
        <v/>
      </c>
      <c r="J67">
        <f>IF(AND(ABS(H67)&gt;Dashboard!$B$7,ISNUMBER(I67),ABS(I67)&gt;Dashboard!$C$7),"FLAG","")</f>
        <v/>
      </c>
    </row>
    <row r="68">
      <c r="A68">
        <f>'TB_2026'!A24</f>
        <v/>
      </c>
      <c r="B68">
        <f>'TB_2026'!B24</f>
        <v/>
      </c>
      <c r="C68">
        <f>'TB_2026'!C24</f>
        <v/>
      </c>
      <c r="D68" t="inlineStr">
        <is>
          <t>Mar</t>
        </is>
      </c>
      <c r="E68" t="inlineStr">
        <is>
          <t>Apr</t>
        </is>
      </c>
      <c r="F68" s="7">
        <f>'TB_2026'!F24</f>
        <v/>
      </c>
      <c r="G68" s="7">
        <f>'TB_2026'!G24</f>
        <v/>
      </c>
      <c r="H68" s="7">
        <f>G68-F68</f>
        <v/>
      </c>
      <c r="I68" s="8">
        <f>IF(F68=0,"",H68/ABS(F68))</f>
        <v/>
      </c>
      <c r="J68">
        <f>IF(AND(ABS(H68)&gt;Dashboard!$B$7,ISNUMBER(I68),ABS(I68)&gt;Dashboard!$C$7),"FLAG","")</f>
        <v/>
      </c>
    </row>
    <row r="69">
      <c r="A69">
        <f>'TB_2026'!A25</f>
        <v/>
      </c>
      <c r="B69">
        <f>'TB_2026'!B25</f>
        <v/>
      </c>
      <c r="C69">
        <f>'TB_2026'!C25</f>
        <v/>
      </c>
      <c r="D69" t="inlineStr">
        <is>
          <t>Jan</t>
        </is>
      </c>
      <c r="E69" t="inlineStr">
        <is>
          <t>Feb</t>
        </is>
      </c>
      <c r="F69" s="7">
        <f>'TB_2026'!D25</f>
        <v/>
      </c>
      <c r="G69" s="7">
        <f>'TB_2026'!E25</f>
        <v/>
      </c>
      <c r="H69" s="7">
        <f>G69-F69</f>
        <v/>
      </c>
      <c r="I69" s="8">
        <f>IF(F69=0,"",H69/ABS(F69))</f>
        <v/>
      </c>
      <c r="J69">
        <f>IF(AND(ABS(H69)&gt;Dashboard!$B$7,ISNUMBER(I69),ABS(I69)&gt;Dashboard!$C$7),"FLAG","")</f>
        <v/>
      </c>
    </row>
    <row r="70">
      <c r="A70">
        <f>'TB_2026'!A25</f>
        <v/>
      </c>
      <c r="B70">
        <f>'TB_2026'!B25</f>
        <v/>
      </c>
      <c r="C70">
        <f>'TB_2026'!C25</f>
        <v/>
      </c>
      <c r="D70" t="inlineStr">
        <is>
          <t>Feb</t>
        </is>
      </c>
      <c r="E70" t="inlineStr">
        <is>
          <t>Mar</t>
        </is>
      </c>
      <c r="F70" s="7">
        <f>'TB_2026'!E25</f>
        <v/>
      </c>
      <c r="G70" s="7">
        <f>'TB_2026'!F25</f>
        <v/>
      </c>
      <c r="H70" s="7">
        <f>G70-F70</f>
        <v/>
      </c>
      <c r="I70" s="8">
        <f>IF(F70=0,"",H70/ABS(F70))</f>
        <v/>
      </c>
      <c r="J70">
        <f>IF(AND(ABS(H70)&gt;Dashboard!$B$7,ISNUMBER(I70),ABS(I70)&gt;Dashboard!$C$7),"FLAG","")</f>
        <v/>
      </c>
    </row>
    <row r="71">
      <c r="A71">
        <f>'TB_2026'!A25</f>
        <v/>
      </c>
      <c r="B71">
        <f>'TB_2026'!B25</f>
        <v/>
      </c>
      <c r="C71">
        <f>'TB_2026'!C25</f>
        <v/>
      </c>
      <c r="D71" t="inlineStr">
        <is>
          <t>Mar</t>
        </is>
      </c>
      <c r="E71" t="inlineStr">
        <is>
          <t>Apr</t>
        </is>
      </c>
      <c r="F71" s="7">
        <f>'TB_2026'!F25</f>
        <v/>
      </c>
      <c r="G71" s="7">
        <f>'TB_2026'!G25</f>
        <v/>
      </c>
      <c r="H71" s="7">
        <f>G71-F71</f>
        <v/>
      </c>
      <c r="I71" s="8">
        <f>IF(F71=0,"",H71/ABS(F71))</f>
        <v/>
      </c>
      <c r="J71">
        <f>IF(AND(ABS(H71)&gt;Dashboard!$B$7,ISNUMBER(I71),ABS(I71)&gt;Dashboard!$C$7),"FLAG","")</f>
        <v/>
      </c>
    </row>
    <row r="72">
      <c r="A72">
        <f>'TB_2026'!A26</f>
        <v/>
      </c>
      <c r="B72">
        <f>'TB_2026'!B26</f>
        <v/>
      </c>
      <c r="C72">
        <f>'TB_2026'!C26</f>
        <v/>
      </c>
      <c r="D72" t="inlineStr">
        <is>
          <t>Jan</t>
        </is>
      </c>
      <c r="E72" t="inlineStr">
        <is>
          <t>Feb</t>
        </is>
      </c>
      <c r="F72" s="7">
        <f>'TB_2026'!D26</f>
        <v/>
      </c>
      <c r="G72" s="7">
        <f>'TB_2026'!E26</f>
        <v/>
      </c>
      <c r="H72" s="7">
        <f>G72-F72</f>
        <v/>
      </c>
      <c r="I72" s="8">
        <f>IF(F72=0,"",H72/ABS(F72))</f>
        <v/>
      </c>
      <c r="J72">
        <f>IF(AND(ABS(H72)&gt;Dashboard!$B$7,ISNUMBER(I72),ABS(I72)&gt;Dashboard!$C$7),"FLAG","")</f>
        <v/>
      </c>
    </row>
    <row r="73">
      <c r="A73">
        <f>'TB_2026'!A26</f>
        <v/>
      </c>
      <c r="B73">
        <f>'TB_2026'!B26</f>
        <v/>
      </c>
      <c r="C73">
        <f>'TB_2026'!C26</f>
        <v/>
      </c>
      <c r="D73" t="inlineStr">
        <is>
          <t>Feb</t>
        </is>
      </c>
      <c r="E73" t="inlineStr">
        <is>
          <t>Mar</t>
        </is>
      </c>
      <c r="F73" s="7">
        <f>'TB_2026'!E26</f>
        <v/>
      </c>
      <c r="G73" s="7">
        <f>'TB_2026'!F26</f>
        <v/>
      </c>
      <c r="H73" s="7">
        <f>G73-F73</f>
        <v/>
      </c>
      <c r="I73" s="8">
        <f>IF(F73=0,"",H73/ABS(F73))</f>
        <v/>
      </c>
      <c r="J73">
        <f>IF(AND(ABS(H73)&gt;Dashboard!$B$7,ISNUMBER(I73),ABS(I73)&gt;Dashboard!$C$7),"FLAG","")</f>
        <v/>
      </c>
    </row>
    <row r="74">
      <c r="A74">
        <f>'TB_2026'!A26</f>
        <v/>
      </c>
      <c r="B74">
        <f>'TB_2026'!B26</f>
        <v/>
      </c>
      <c r="C74">
        <f>'TB_2026'!C26</f>
        <v/>
      </c>
      <c r="D74" t="inlineStr">
        <is>
          <t>Mar</t>
        </is>
      </c>
      <c r="E74" t="inlineStr">
        <is>
          <t>Apr</t>
        </is>
      </c>
      <c r="F74" s="7">
        <f>'TB_2026'!F26</f>
        <v/>
      </c>
      <c r="G74" s="7">
        <f>'TB_2026'!G26</f>
        <v/>
      </c>
      <c r="H74" s="7">
        <f>G74-F74</f>
        <v/>
      </c>
      <c r="I74" s="8">
        <f>IF(F74=0,"",H74/ABS(F74))</f>
        <v/>
      </c>
      <c r="J74">
        <f>IF(AND(ABS(H74)&gt;Dashboard!$B$7,ISNUMBER(I74),ABS(I74)&gt;Dashboard!$C$7),"FLAG","")</f>
        <v/>
      </c>
    </row>
    <row r="75">
      <c r="A75">
        <f>'TB_2026'!A27</f>
        <v/>
      </c>
      <c r="B75">
        <f>'TB_2026'!B27</f>
        <v/>
      </c>
      <c r="C75">
        <f>'TB_2026'!C27</f>
        <v/>
      </c>
      <c r="D75" t="inlineStr">
        <is>
          <t>Jan</t>
        </is>
      </c>
      <c r="E75" t="inlineStr">
        <is>
          <t>Feb</t>
        </is>
      </c>
      <c r="F75" s="7">
        <f>'TB_2026'!D27</f>
        <v/>
      </c>
      <c r="G75" s="7">
        <f>'TB_2026'!E27</f>
        <v/>
      </c>
      <c r="H75" s="7">
        <f>G75-F75</f>
        <v/>
      </c>
      <c r="I75" s="8">
        <f>IF(F75=0,"",H75/ABS(F75))</f>
        <v/>
      </c>
      <c r="J75">
        <f>IF(AND(ABS(H75)&gt;Dashboard!$B$7,ISNUMBER(I75),ABS(I75)&gt;Dashboard!$C$7),"FLAG","")</f>
        <v/>
      </c>
    </row>
    <row r="76">
      <c r="A76">
        <f>'TB_2026'!A27</f>
        <v/>
      </c>
      <c r="B76">
        <f>'TB_2026'!B27</f>
        <v/>
      </c>
      <c r="C76">
        <f>'TB_2026'!C27</f>
        <v/>
      </c>
      <c r="D76" t="inlineStr">
        <is>
          <t>Feb</t>
        </is>
      </c>
      <c r="E76" t="inlineStr">
        <is>
          <t>Mar</t>
        </is>
      </c>
      <c r="F76" s="7">
        <f>'TB_2026'!E27</f>
        <v/>
      </c>
      <c r="G76" s="7">
        <f>'TB_2026'!F27</f>
        <v/>
      </c>
      <c r="H76" s="7">
        <f>G76-F76</f>
        <v/>
      </c>
      <c r="I76" s="8">
        <f>IF(F76=0,"",H76/ABS(F76))</f>
        <v/>
      </c>
      <c r="J76">
        <f>IF(AND(ABS(H76)&gt;Dashboard!$B$7,ISNUMBER(I76),ABS(I76)&gt;Dashboard!$C$7),"FLAG","")</f>
        <v/>
      </c>
    </row>
    <row r="77">
      <c r="A77">
        <f>'TB_2026'!A27</f>
        <v/>
      </c>
      <c r="B77">
        <f>'TB_2026'!B27</f>
        <v/>
      </c>
      <c r="C77">
        <f>'TB_2026'!C27</f>
        <v/>
      </c>
      <c r="D77" t="inlineStr">
        <is>
          <t>Mar</t>
        </is>
      </c>
      <c r="E77" t="inlineStr">
        <is>
          <t>Apr</t>
        </is>
      </c>
      <c r="F77" s="7">
        <f>'TB_2026'!F27</f>
        <v/>
      </c>
      <c r="G77" s="7">
        <f>'TB_2026'!G27</f>
        <v/>
      </c>
      <c r="H77" s="7">
        <f>G77-F77</f>
        <v/>
      </c>
      <c r="I77" s="8">
        <f>IF(F77=0,"",H77/ABS(F77))</f>
        <v/>
      </c>
      <c r="J77">
        <f>IF(AND(ABS(H77)&gt;Dashboard!$B$7,ISNUMBER(I77),ABS(I77)&gt;Dashboard!$C$7),"FLAG","")</f>
        <v/>
      </c>
    </row>
    <row r="78">
      <c r="A78">
        <f>'TB_2026'!A28</f>
        <v/>
      </c>
      <c r="B78">
        <f>'TB_2026'!B28</f>
        <v/>
      </c>
      <c r="C78">
        <f>'TB_2026'!C28</f>
        <v/>
      </c>
      <c r="D78" t="inlineStr">
        <is>
          <t>Jan</t>
        </is>
      </c>
      <c r="E78" t="inlineStr">
        <is>
          <t>Feb</t>
        </is>
      </c>
      <c r="F78" s="7">
        <f>'TB_2026'!D28</f>
        <v/>
      </c>
      <c r="G78" s="7">
        <f>'TB_2026'!E28</f>
        <v/>
      </c>
      <c r="H78" s="7">
        <f>G78-F78</f>
        <v/>
      </c>
      <c r="I78" s="8">
        <f>IF(F78=0,"",H78/ABS(F78))</f>
        <v/>
      </c>
      <c r="J78">
        <f>IF(AND(ABS(H78)&gt;Dashboard!$B$7,ISNUMBER(I78),ABS(I78)&gt;Dashboard!$C$7),"FLAG","")</f>
        <v/>
      </c>
    </row>
    <row r="79">
      <c r="A79">
        <f>'TB_2026'!A28</f>
        <v/>
      </c>
      <c r="B79">
        <f>'TB_2026'!B28</f>
        <v/>
      </c>
      <c r="C79">
        <f>'TB_2026'!C28</f>
        <v/>
      </c>
      <c r="D79" t="inlineStr">
        <is>
          <t>Feb</t>
        </is>
      </c>
      <c r="E79" t="inlineStr">
        <is>
          <t>Mar</t>
        </is>
      </c>
      <c r="F79" s="7">
        <f>'TB_2026'!E28</f>
        <v/>
      </c>
      <c r="G79" s="7">
        <f>'TB_2026'!F28</f>
        <v/>
      </c>
      <c r="H79" s="7">
        <f>G79-F79</f>
        <v/>
      </c>
      <c r="I79" s="8">
        <f>IF(F79=0,"",H79/ABS(F79))</f>
        <v/>
      </c>
      <c r="J79">
        <f>IF(AND(ABS(H79)&gt;Dashboard!$B$7,ISNUMBER(I79),ABS(I79)&gt;Dashboard!$C$7),"FLAG","")</f>
        <v/>
      </c>
    </row>
    <row r="80">
      <c r="A80">
        <f>'TB_2026'!A28</f>
        <v/>
      </c>
      <c r="B80">
        <f>'TB_2026'!B28</f>
        <v/>
      </c>
      <c r="C80">
        <f>'TB_2026'!C28</f>
        <v/>
      </c>
      <c r="D80" t="inlineStr">
        <is>
          <t>Mar</t>
        </is>
      </c>
      <c r="E80" t="inlineStr">
        <is>
          <t>Apr</t>
        </is>
      </c>
      <c r="F80" s="7">
        <f>'TB_2026'!F28</f>
        <v/>
      </c>
      <c r="G80" s="7">
        <f>'TB_2026'!G28</f>
        <v/>
      </c>
      <c r="H80" s="7">
        <f>G80-F80</f>
        <v/>
      </c>
      <c r="I80" s="8">
        <f>IF(F80=0,"",H80/ABS(F80))</f>
        <v/>
      </c>
      <c r="J80">
        <f>IF(AND(ABS(H80)&gt;Dashboard!$B$7,ISNUMBER(I80),ABS(I80)&gt;Dashboard!$C$7),"FLAG","")</f>
        <v/>
      </c>
    </row>
    <row r="81">
      <c r="A81">
        <f>'TB_2026'!A29</f>
        <v/>
      </c>
      <c r="B81">
        <f>'TB_2026'!B29</f>
        <v/>
      </c>
      <c r="C81">
        <f>'TB_2026'!C29</f>
        <v/>
      </c>
      <c r="D81" t="inlineStr">
        <is>
          <t>Jan</t>
        </is>
      </c>
      <c r="E81" t="inlineStr">
        <is>
          <t>Feb</t>
        </is>
      </c>
      <c r="F81" s="7">
        <f>'TB_2026'!D29</f>
        <v/>
      </c>
      <c r="G81" s="7">
        <f>'TB_2026'!E29</f>
        <v/>
      </c>
      <c r="H81" s="7">
        <f>G81-F81</f>
        <v/>
      </c>
      <c r="I81" s="8">
        <f>IF(F81=0,"",H81/ABS(F81))</f>
        <v/>
      </c>
      <c r="J81">
        <f>IF(AND(ABS(H81)&gt;Dashboard!$B$7,ISNUMBER(I81),ABS(I81)&gt;Dashboard!$C$7),"FLAG","")</f>
        <v/>
      </c>
    </row>
    <row r="82">
      <c r="A82">
        <f>'TB_2026'!A29</f>
        <v/>
      </c>
      <c r="B82">
        <f>'TB_2026'!B29</f>
        <v/>
      </c>
      <c r="C82">
        <f>'TB_2026'!C29</f>
        <v/>
      </c>
      <c r="D82" t="inlineStr">
        <is>
          <t>Feb</t>
        </is>
      </c>
      <c r="E82" t="inlineStr">
        <is>
          <t>Mar</t>
        </is>
      </c>
      <c r="F82" s="7">
        <f>'TB_2026'!E29</f>
        <v/>
      </c>
      <c r="G82" s="7">
        <f>'TB_2026'!F29</f>
        <v/>
      </c>
      <c r="H82" s="7">
        <f>G82-F82</f>
        <v/>
      </c>
      <c r="I82" s="8">
        <f>IF(F82=0,"",H82/ABS(F82))</f>
        <v/>
      </c>
      <c r="J82">
        <f>IF(AND(ABS(H82)&gt;Dashboard!$B$7,ISNUMBER(I82),ABS(I82)&gt;Dashboard!$C$7),"FLAG","")</f>
        <v/>
      </c>
    </row>
    <row r="83">
      <c r="A83">
        <f>'TB_2026'!A29</f>
        <v/>
      </c>
      <c r="B83">
        <f>'TB_2026'!B29</f>
        <v/>
      </c>
      <c r="C83">
        <f>'TB_2026'!C29</f>
        <v/>
      </c>
      <c r="D83" t="inlineStr">
        <is>
          <t>Mar</t>
        </is>
      </c>
      <c r="E83" t="inlineStr">
        <is>
          <t>Apr</t>
        </is>
      </c>
      <c r="F83" s="7">
        <f>'TB_2026'!F29</f>
        <v/>
      </c>
      <c r="G83" s="7">
        <f>'TB_2026'!G29</f>
        <v/>
      </c>
      <c r="H83" s="7">
        <f>G83-F83</f>
        <v/>
      </c>
      <c r="I83" s="8">
        <f>IF(F83=0,"",H83/ABS(F83))</f>
        <v/>
      </c>
      <c r="J83">
        <f>IF(AND(ABS(H83)&gt;Dashboard!$B$7,ISNUMBER(I83),ABS(I83)&gt;Dashboard!$C$7),"FLAG","")</f>
        <v/>
      </c>
    </row>
    <row r="84">
      <c r="A84">
        <f>'TB_2026'!A30</f>
        <v/>
      </c>
      <c r="B84">
        <f>'TB_2026'!B30</f>
        <v/>
      </c>
      <c r="C84">
        <f>'TB_2026'!C30</f>
        <v/>
      </c>
      <c r="D84" t="inlineStr">
        <is>
          <t>Jan</t>
        </is>
      </c>
      <c r="E84" t="inlineStr">
        <is>
          <t>Feb</t>
        </is>
      </c>
      <c r="F84" s="7">
        <f>'TB_2026'!D30</f>
        <v/>
      </c>
      <c r="G84" s="7">
        <f>'TB_2026'!E30</f>
        <v/>
      </c>
      <c r="H84" s="7">
        <f>G84-F84</f>
        <v/>
      </c>
      <c r="I84" s="8">
        <f>IF(F84=0,"",H84/ABS(F84))</f>
        <v/>
      </c>
      <c r="J84">
        <f>IF(AND(ABS(H84)&gt;Dashboard!$B$7,ISNUMBER(I84),ABS(I84)&gt;Dashboard!$C$7),"FLAG","")</f>
        <v/>
      </c>
    </row>
    <row r="85">
      <c r="A85">
        <f>'TB_2026'!A30</f>
        <v/>
      </c>
      <c r="B85">
        <f>'TB_2026'!B30</f>
        <v/>
      </c>
      <c r="C85">
        <f>'TB_2026'!C30</f>
        <v/>
      </c>
      <c r="D85" t="inlineStr">
        <is>
          <t>Feb</t>
        </is>
      </c>
      <c r="E85" t="inlineStr">
        <is>
          <t>Mar</t>
        </is>
      </c>
      <c r="F85" s="7">
        <f>'TB_2026'!E30</f>
        <v/>
      </c>
      <c r="G85" s="7">
        <f>'TB_2026'!F30</f>
        <v/>
      </c>
      <c r="H85" s="7">
        <f>G85-F85</f>
        <v/>
      </c>
      <c r="I85" s="8">
        <f>IF(F85=0,"",H85/ABS(F85))</f>
        <v/>
      </c>
      <c r="J85">
        <f>IF(AND(ABS(H85)&gt;Dashboard!$B$7,ISNUMBER(I85),ABS(I85)&gt;Dashboard!$C$7),"FLAG","")</f>
        <v/>
      </c>
    </row>
    <row r="86">
      <c r="A86">
        <f>'TB_2026'!A30</f>
        <v/>
      </c>
      <c r="B86">
        <f>'TB_2026'!B30</f>
        <v/>
      </c>
      <c r="C86">
        <f>'TB_2026'!C30</f>
        <v/>
      </c>
      <c r="D86" t="inlineStr">
        <is>
          <t>Mar</t>
        </is>
      </c>
      <c r="E86" t="inlineStr">
        <is>
          <t>Apr</t>
        </is>
      </c>
      <c r="F86" s="7">
        <f>'TB_2026'!F30</f>
        <v/>
      </c>
      <c r="G86" s="7">
        <f>'TB_2026'!G30</f>
        <v/>
      </c>
      <c r="H86" s="7">
        <f>G86-F86</f>
        <v/>
      </c>
      <c r="I86" s="8">
        <f>IF(F86=0,"",H86/ABS(F86))</f>
        <v/>
      </c>
      <c r="J86">
        <f>IF(AND(ABS(H86)&gt;Dashboard!$B$7,ISNUMBER(I86),ABS(I86)&gt;Dashboard!$C$7),"FLAG","")</f>
        <v/>
      </c>
    </row>
    <row r="87">
      <c r="A87">
        <f>'TB_2026'!A31</f>
        <v/>
      </c>
      <c r="B87">
        <f>'TB_2026'!B31</f>
        <v/>
      </c>
      <c r="C87">
        <f>'TB_2026'!C31</f>
        <v/>
      </c>
      <c r="D87" t="inlineStr">
        <is>
          <t>Jan</t>
        </is>
      </c>
      <c r="E87" t="inlineStr">
        <is>
          <t>Feb</t>
        </is>
      </c>
      <c r="F87" s="7">
        <f>'TB_2026'!D31</f>
        <v/>
      </c>
      <c r="G87" s="7">
        <f>'TB_2026'!E31</f>
        <v/>
      </c>
      <c r="H87" s="7">
        <f>G87-F87</f>
        <v/>
      </c>
      <c r="I87" s="8">
        <f>IF(F87=0,"",H87/ABS(F87))</f>
        <v/>
      </c>
      <c r="J87">
        <f>IF(AND(ABS(H87)&gt;Dashboard!$B$7,ISNUMBER(I87),ABS(I87)&gt;Dashboard!$C$7),"FLAG","")</f>
        <v/>
      </c>
    </row>
    <row r="88">
      <c r="A88">
        <f>'TB_2026'!A31</f>
        <v/>
      </c>
      <c r="B88">
        <f>'TB_2026'!B31</f>
        <v/>
      </c>
      <c r="C88">
        <f>'TB_2026'!C31</f>
        <v/>
      </c>
      <c r="D88" t="inlineStr">
        <is>
          <t>Feb</t>
        </is>
      </c>
      <c r="E88" t="inlineStr">
        <is>
          <t>Mar</t>
        </is>
      </c>
      <c r="F88" s="7">
        <f>'TB_2026'!E31</f>
        <v/>
      </c>
      <c r="G88" s="7">
        <f>'TB_2026'!F31</f>
        <v/>
      </c>
      <c r="H88" s="7">
        <f>G88-F88</f>
        <v/>
      </c>
      <c r="I88" s="8">
        <f>IF(F88=0,"",H88/ABS(F88))</f>
        <v/>
      </c>
      <c r="J88">
        <f>IF(AND(ABS(H88)&gt;Dashboard!$B$7,ISNUMBER(I88),ABS(I88)&gt;Dashboard!$C$7),"FLAG","")</f>
        <v/>
      </c>
    </row>
    <row r="89">
      <c r="A89">
        <f>'TB_2026'!A31</f>
        <v/>
      </c>
      <c r="B89">
        <f>'TB_2026'!B31</f>
        <v/>
      </c>
      <c r="C89">
        <f>'TB_2026'!C31</f>
        <v/>
      </c>
      <c r="D89" t="inlineStr">
        <is>
          <t>Mar</t>
        </is>
      </c>
      <c r="E89" t="inlineStr">
        <is>
          <t>Apr</t>
        </is>
      </c>
      <c r="F89" s="7">
        <f>'TB_2026'!F31</f>
        <v/>
      </c>
      <c r="G89" s="7">
        <f>'TB_2026'!G31</f>
        <v/>
      </c>
      <c r="H89" s="7">
        <f>G89-F89</f>
        <v/>
      </c>
      <c r="I89" s="8">
        <f>IF(F89=0,"",H89/ABS(F89))</f>
        <v/>
      </c>
      <c r="J89">
        <f>IF(AND(ABS(H89)&gt;Dashboard!$B$7,ISNUMBER(I89),ABS(I89)&gt;Dashboard!$C$7),"FLAG","")</f>
        <v/>
      </c>
    </row>
    <row r="90">
      <c r="A90">
        <f>'TB_2026'!A32</f>
        <v/>
      </c>
      <c r="B90">
        <f>'TB_2026'!B32</f>
        <v/>
      </c>
      <c r="C90">
        <f>'TB_2026'!C32</f>
        <v/>
      </c>
      <c r="D90" t="inlineStr">
        <is>
          <t>Jan</t>
        </is>
      </c>
      <c r="E90" t="inlineStr">
        <is>
          <t>Feb</t>
        </is>
      </c>
      <c r="F90" s="7">
        <f>'TB_2026'!D32</f>
        <v/>
      </c>
      <c r="G90" s="7">
        <f>'TB_2026'!E32</f>
        <v/>
      </c>
      <c r="H90" s="7">
        <f>G90-F90</f>
        <v/>
      </c>
      <c r="I90" s="8">
        <f>IF(F90=0,"",H90/ABS(F90))</f>
        <v/>
      </c>
      <c r="J90">
        <f>IF(AND(ABS(H90)&gt;Dashboard!$B$7,ISNUMBER(I90),ABS(I90)&gt;Dashboard!$C$7),"FLAG","")</f>
        <v/>
      </c>
    </row>
    <row r="91">
      <c r="A91">
        <f>'TB_2026'!A32</f>
        <v/>
      </c>
      <c r="B91">
        <f>'TB_2026'!B32</f>
        <v/>
      </c>
      <c r="C91">
        <f>'TB_2026'!C32</f>
        <v/>
      </c>
      <c r="D91" t="inlineStr">
        <is>
          <t>Feb</t>
        </is>
      </c>
      <c r="E91" t="inlineStr">
        <is>
          <t>Mar</t>
        </is>
      </c>
      <c r="F91" s="7">
        <f>'TB_2026'!E32</f>
        <v/>
      </c>
      <c r="G91" s="7">
        <f>'TB_2026'!F32</f>
        <v/>
      </c>
      <c r="H91" s="7">
        <f>G91-F91</f>
        <v/>
      </c>
      <c r="I91" s="8">
        <f>IF(F91=0,"",H91/ABS(F91))</f>
        <v/>
      </c>
      <c r="J91">
        <f>IF(AND(ABS(H91)&gt;Dashboard!$B$7,ISNUMBER(I91),ABS(I91)&gt;Dashboard!$C$7),"FLAG","")</f>
        <v/>
      </c>
    </row>
    <row r="92">
      <c r="A92">
        <f>'TB_2026'!A32</f>
        <v/>
      </c>
      <c r="B92">
        <f>'TB_2026'!B32</f>
        <v/>
      </c>
      <c r="C92">
        <f>'TB_2026'!C32</f>
        <v/>
      </c>
      <c r="D92" t="inlineStr">
        <is>
          <t>Mar</t>
        </is>
      </c>
      <c r="E92" t="inlineStr">
        <is>
          <t>Apr</t>
        </is>
      </c>
      <c r="F92" s="7">
        <f>'TB_2026'!F32</f>
        <v/>
      </c>
      <c r="G92" s="7">
        <f>'TB_2026'!G32</f>
        <v/>
      </c>
      <c r="H92" s="7">
        <f>G92-F92</f>
        <v/>
      </c>
      <c r="I92" s="8">
        <f>IF(F92=0,"",H92/ABS(F92))</f>
        <v/>
      </c>
      <c r="J92">
        <f>IF(AND(ABS(H92)&gt;Dashboard!$B$7,ISNUMBER(I92),ABS(I92)&gt;Dashboard!$C$7),"FLAG","")</f>
        <v/>
      </c>
    </row>
    <row r="93">
      <c r="A93">
        <f>'TB_2026'!A33</f>
        <v/>
      </c>
      <c r="B93">
        <f>'TB_2026'!B33</f>
        <v/>
      </c>
      <c r="C93">
        <f>'TB_2026'!C33</f>
        <v/>
      </c>
      <c r="D93" t="inlineStr">
        <is>
          <t>Jan</t>
        </is>
      </c>
      <c r="E93" t="inlineStr">
        <is>
          <t>Feb</t>
        </is>
      </c>
      <c r="F93" s="7">
        <f>'TB_2026'!D33</f>
        <v/>
      </c>
      <c r="G93" s="7">
        <f>'TB_2026'!E33</f>
        <v/>
      </c>
      <c r="H93" s="7">
        <f>G93-F93</f>
        <v/>
      </c>
      <c r="I93" s="8">
        <f>IF(F93=0,"",H93/ABS(F93))</f>
        <v/>
      </c>
      <c r="J93">
        <f>IF(AND(ABS(H93)&gt;Dashboard!$B$7,ISNUMBER(I93),ABS(I93)&gt;Dashboard!$C$7),"FLAG","")</f>
        <v/>
      </c>
    </row>
    <row r="94">
      <c r="A94">
        <f>'TB_2026'!A33</f>
        <v/>
      </c>
      <c r="B94">
        <f>'TB_2026'!B33</f>
        <v/>
      </c>
      <c r="C94">
        <f>'TB_2026'!C33</f>
        <v/>
      </c>
      <c r="D94" t="inlineStr">
        <is>
          <t>Feb</t>
        </is>
      </c>
      <c r="E94" t="inlineStr">
        <is>
          <t>Mar</t>
        </is>
      </c>
      <c r="F94" s="7">
        <f>'TB_2026'!E33</f>
        <v/>
      </c>
      <c r="G94" s="7">
        <f>'TB_2026'!F33</f>
        <v/>
      </c>
      <c r="H94" s="7">
        <f>G94-F94</f>
        <v/>
      </c>
      <c r="I94" s="8">
        <f>IF(F94=0,"",H94/ABS(F94))</f>
        <v/>
      </c>
      <c r="J94">
        <f>IF(AND(ABS(H94)&gt;Dashboard!$B$7,ISNUMBER(I94),ABS(I94)&gt;Dashboard!$C$7),"FLAG","")</f>
        <v/>
      </c>
    </row>
    <row r="95">
      <c r="A95">
        <f>'TB_2026'!A33</f>
        <v/>
      </c>
      <c r="B95">
        <f>'TB_2026'!B33</f>
        <v/>
      </c>
      <c r="C95">
        <f>'TB_2026'!C33</f>
        <v/>
      </c>
      <c r="D95" t="inlineStr">
        <is>
          <t>Mar</t>
        </is>
      </c>
      <c r="E95" t="inlineStr">
        <is>
          <t>Apr</t>
        </is>
      </c>
      <c r="F95" s="7">
        <f>'TB_2026'!F33</f>
        <v/>
      </c>
      <c r="G95" s="7">
        <f>'TB_2026'!G33</f>
        <v/>
      </c>
      <c r="H95" s="7">
        <f>G95-F95</f>
        <v/>
      </c>
      <c r="I95" s="8">
        <f>IF(F95=0,"",H95/ABS(F95))</f>
        <v/>
      </c>
      <c r="J95">
        <f>IF(AND(ABS(H95)&gt;Dashboard!$B$7,ISNUMBER(I95),ABS(I95)&gt;Dashboard!$C$7),"FLAG","")</f>
        <v/>
      </c>
    </row>
    <row r="96">
      <c r="A96">
        <f>'TB_2026'!A34</f>
        <v/>
      </c>
      <c r="B96">
        <f>'TB_2026'!B34</f>
        <v/>
      </c>
      <c r="C96">
        <f>'TB_2026'!C34</f>
        <v/>
      </c>
      <c r="D96" t="inlineStr">
        <is>
          <t>Jan</t>
        </is>
      </c>
      <c r="E96" t="inlineStr">
        <is>
          <t>Feb</t>
        </is>
      </c>
      <c r="F96" s="7">
        <f>'TB_2026'!D34</f>
        <v/>
      </c>
      <c r="G96" s="7">
        <f>'TB_2026'!E34</f>
        <v/>
      </c>
      <c r="H96" s="7">
        <f>G96-F96</f>
        <v/>
      </c>
      <c r="I96" s="8">
        <f>IF(F96=0,"",H96/ABS(F96))</f>
        <v/>
      </c>
      <c r="J96">
        <f>IF(AND(ABS(H96)&gt;Dashboard!$B$7,ISNUMBER(I96),ABS(I96)&gt;Dashboard!$C$7),"FLAG","")</f>
        <v/>
      </c>
    </row>
    <row r="97">
      <c r="A97">
        <f>'TB_2026'!A34</f>
        <v/>
      </c>
      <c r="B97">
        <f>'TB_2026'!B34</f>
        <v/>
      </c>
      <c r="C97">
        <f>'TB_2026'!C34</f>
        <v/>
      </c>
      <c r="D97" t="inlineStr">
        <is>
          <t>Feb</t>
        </is>
      </c>
      <c r="E97" t="inlineStr">
        <is>
          <t>Mar</t>
        </is>
      </c>
      <c r="F97" s="7">
        <f>'TB_2026'!E34</f>
        <v/>
      </c>
      <c r="G97" s="7">
        <f>'TB_2026'!F34</f>
        <v/>
      </c>
      <c r="H97" s="7">
        <f>G97-F97</f>
        <v/>
      </c>
      <c r="I97" s="8">
        <f>IF(F97=0,"",H97/ABS(F97))</f>
        <v/>
      </c>
      <c r="J97">
        <f>IF(AND(ABS(H97)&gt;Dashboard!$B$7,ISNUMBER(I97),ABS(I97)&gt;Dashboard!$C$7),"FLAG","")</f>
        <v/>
      </c>
    </row>
    <row r="98">
      <c r="A98">
        <f>'TB_2026'!A34</f>
        <v/>
      </c>
      <c r="B98">
        <f>'TB_2026'!B34</f>
        <v/>
      </c>
      <c r="C98">
        <f>'TB_2026'!C34</f>
        <v/>
      </c>
      <c r="D98" t="inlineStr">
        <is>
          <t>Mar</t>
        </is>
      </c>
      <c r="E98" t="inlineStr">
        <is>
          <t>Apr</t>
        </is>
      </c>
      <c r="F98" s="7">
        <f>'TB_2026'!F34</f>
        <v/>
      </c>
      <c r="G98" s="7">
        <f>'TB_2026'!G34</f>
        <v/>
      </c>
      <c r="H98" s="7">
        <f>G98-F98</f>
        <v/>
      </c>
      <c r="I98" s="8">
        <f>IF(F98=0,"",H98/ABS(F98))</f>
        <v/>
      </c>
      <c r="J98">
        <f>IF(AND(ABS(H98)&gt;Dashboard!$B$7,ISNUMBER(I98),ABS(I98)&gt;Dashboard!$C$7),"FLAG","")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70" customWidth="1" min="6" max="6"/>
  </cols>
  <sheetData>
    <row r="1">
      <c r="A1" s="6" t="inlineStr">
        <is>
          <t>Flagged Accounts - every cell below traces to YoY_Variance / MoM_Variance</t>
        </is>
      </c>
    </row>
    <row r="2">
      <c r="A2" s="4" t="inlineStr">
        <is>
          <t>Type</t>
        </is>
      </c>
      <c r="B2" s="4" t="inlineStr">
        <is>
          <t>Account</t>
        </is>
      </c>
      <c r="C2" s="4" t="inlineStr">
        <is>
          <t>Period</t>
        </is>
      </c>
      <c r="D2" s="4" t="inlineStr">
        <is>
          <t>$ Var</t>
        </is>
      </c>
      <c r="E2" s="4" t="inlineStr">
        <is>
          <t>% Var</t>
        </is>
      </c>
      <c r="F2" s="4" t="inlineStr">
        <is>
          <t>Note</t>
        </is>
      </c>
    </row>
    <row r="3">
      <c r="A3" s="9" t="inlineStr">
        <is>
          <t>YoY</t>
        </is>
      </c>
      <c r="B3" s="9">
        <f>YoY_Variance!B3</f>
        <v/>
      </c>
      <c r="C3" s="9">
        <f>YoY_Variance!D3</f>
        <v/>
      </c>
      <c r="D3" s="10">
        <f>YoY_Variance!G3</f>
        <v/>
      </c>
      <c r="E3" s="11">
        <f>YoY_Variance!H3</f>
        <v/>
      </c>
      <c r="F3" s="9" t="inlineStr"/>
    </row>
    <row r="4">
      <c r="A4" s="9" t="inlineStr">
        <is>
          <t>YoY</t>
        </is>
      </c>
      <c r="B4" s="9">
        <f>YoY_Variance!B4</f>
        <v/>
      </c>
      <c r="C4" s="9">
        <f>YoY_Variance!D4</f>
        <v/>
      </c>
      <c r="D4" s="10">
        <f>YoY_Variance!G4</f>
        <v/>
      </c>
      <c r="E4" s="11">
        <f>YoY_Variance!H4</f>
        <v/>
      </c>
      <c r="F4" s="9" t="inlineStr"/>
    </row>
    <row r="5">
      <c r="A5" s="9" t="inlineStr">
        <is>
          <t>YoY</t>
        </is>
      </c>
      <c r="B5" s="9">
        <f>YoY_Variance!B5</f>
        <v/>
      </c>
      <c r="C5" s="9">
        <f>YoY_Variance!D5</f>
        <v/>
      </c>
      <c r="D5" s="10">
        <f>YoY_Variance!G5</f>
        <v/>
      </c>
      <c r="E5" s="11">
        <f>YoY_Variance!H5</f>
        <v/>
      </c>
      <c r="F5" s="9" t="inlineStr"/>
    </row>
    <row r="6">
      <c r="A6" s="9" t="inlineStr">
        <is>
          <t>YoY</t>
        </is>
      </c>
      <c r="B6" s="9">
        <f>YoY_Variance!B6</f>
        <v/>
      </c>
      <c r="C6" s="9">
        <f>YoY_Variance!D6</f>
        <v/>
      </c>
      <c r="D6" s="10">
        <f>YoY_Variance!G6</f>
        <v/>
      </c>
      <c r="E6" s="11">
        <f>YoY_Variance!H6</f>
        <v/>
      </c>
      <c r="F6" s="9" t="inlineStr"/>
    </row>
    <row r="7">
      <c r="A7" s="9" t="inlineStr">
        <is>
          <t>YoY</t>
        </is>
      </c>
      <c r="B7" s="9">
        <f>YoY_Variance!B14</f>
        <v/>
      </c>
      <c r="C7" s="9">
        <f>YoY_Variance!D14</f>
        <v/>
      </c>
      <c r="D7" s="10">
        <f>YoY_Variance!G14</f>
        <v/>
      </c>
      <c r="E7" s="11">
        <f>YoY_Variance!H14</f>
        <v/>
      </c>
      <c r="F7" s="9" t="inlineStr">
        <is>
          <t>Balloons in April 2026 specifically - invisible in a single month, obvious once diffed.</t>
        </is>
      </c>
    </row>
    <row r="8">
      <c r="A8" s="9" t="inlineStr">
        <is>
          <t>YoY</t>
        </is>
      </c>
      <c r="B8" s="9">
        <f>YoY_Variance!B31</f>
        <v/>
      </c>
      <c r="C8" s="9">
        <f>YoY_Variance!D31</f>
        <v/>
      </c>
      <c r="D8" s="10">
        <f>YoY_Variance!G31</f>
        <v/>
      </c>
      <c r="E8" s="11">
        <f>YoY_Variance!H31</f>
        <v/>
      </c>
      <c r="F8" s="9" t="inlineStr"/>
    </row>
    <row r="9">
      <c r="A9" s="9" t="inlineStr">
        <is>
          <t>YoY</t>
        </is>
      </c>
      <c r="B9" s="9">
        <f>YoY_Variance!B32</f>
        <v/>
      </c>
      <c r="C9" s="9">
        <f>YoY_Variance!D32</f>
        <v/>
      </c>
      <c r="D9" s="10">
        <f>YoY_Variance!G32</f>
        <v/>
      </c>
      <c r="E9" s="11">
        <f>YoY_Variance!H32</f>
        <v/>
      </c>
      <c r="F9" s="9" t="inlineStr"/>
    </row>
    <row r="10">
      <c r="A10" s="9" t="inlineStr">
        <is>
          <t>YoY</t>
        </is>
      </c>
      <c r="B10" s="9">
        <f>YoY_Variance!B33</f>
        <v/>
      </c>
      <c r="C10" s="9">
        <f>YoY_Variance!D33</f>
        <v/>
      </c>
      <c r="D10" s="10">
        <f>YoY_Variance!G33</f>
        <v/>
      </c>
      <c r="E10" s="11">
        <f>YoY_Variance!H33</f>
        <v/>
      </c>
      <c r="F10" s="9" t="inlineStr"/>
    </row>
    <row r="11">
      <c r="A11" s="9" t="inlineStr">
        <is>
          <t>YoY</t>
        </is>
      </c>
      <c r="B11" s="9">
        <f>YoY_Variance!B34</f>
        <v/>
      </c>
      <c r="C11" s="9">
        <f>YoY_Variance!D34</f>
        <v/>
      </c>
      <c r="D11" s="10">
        <f>YoY_Variance!G34</f>
        <v/>
      </c>
      <c r="E11" s="11">
        <f>YoY_Variance!H34</f>
        <v/>
      </c>
      <c r="F11" s="9" t="inlineStr"/>
    </row>
    <row r="12">
      <c r="A12" s="9" t="inlineStr">
        <is>
          <t>YoY</t>
        </is>
      </c>
      <c r="B12" s="9">
        <f>YoY_Variance!B59</f>
        <v/>
      </c>
      <c r="C12" s="9">
        <f>YoY_Variance!D59</f>
        <v/>
      </c>
      <c r="D12" s="10">
        <f>YoY_Variance!G59</f>
        <v/>
      </c>
      <c r="E12" s="11">
        <f>YoY_Variance!H59</f>
        <v/>
      </c>
      <c r="F12" s="9" t="inlineStr"/>
    </row>
    <row r="13">
      <c r="A13" s="9" t="inlineStr">
        <is>
          <t>YoY</t>
        </is>
      </c>
      <c r="B13" s="9">
        <f>YoY_Variance!B60</f>
        <v/>
      </c>
      <c r="C13" s="9">
        <f>YoY_Variance!D60</f>
        <v/>
      </c>
      <c r="D13" s="10">
        <f>YoY_Variance!G60</f>
        <v/>
      </c>
      <c r="E13" s="11">
        <f>YoY_Variance!H60</f>
        <v/>
      </c>
      <c r="F13" s="9" t="inlineStr"/>
    </row>
    <row r="14">
      <c r="A14" s="9" t="inlineStr">
        <is>
          <t>YoY</t>
        </is>
      </c>
      <c r="B14" s="9">
        <f>YoY_Variance!B61</f>
        <v/>
      </c>
      <c r="C14" s="9">
        <f>YoY_Variance!D61</f>
        <v/>
      </c>
      <c r="D14" s="10">
        <f>YoY_Variance!G61</f>
        <v/>
      </c>
      <c r="E14" s="11">
        <f>YoY_Variance!H61</f>
        <v/>
      </c>
      <c r="F14" s="9" t="inlineStr"/>
    </row>
    <row r="15">
      <c r="A15" s="9" t="inlineStr">
        <is>
          <t>YoY</t>
        </is>
      </c>
      <c r="B15" s="9">
        <f>YoY_Variance!B62</f>
        <v/>
      </c>
      <c r="C15" s="9">
        <f>YoY_Variance!D62</f>
        <v/>
      </c>
      <c r="D15" s="10">
        <f>YoY_Variance!G62</f>
        <v/>
      </c>
      <c r="E15" s="11">
        <f>YoY_Variance!H62</f>
        <v/>
      </c>
      <c r="F15" s="9" t="inlineStr"/>
    </row>
    <row r="16">
      <c r="A16" s="9" t="inlineStr">
        <is>
          <t>YoY</t>
        </is>
      </c>
      <c r="B16" s="9">
        <f>YoY_Variance!B70</f>
        <v/>
      </c>
      <c r="C16" s="9">
        <f>YoY_Variance!D70</f>
        <v/>
      </c>
      <c r="D16" s="10">
        <f>YoY_Variance!G70</f>
        <v/>
      </c>
      <c r="E16" s="11">
        <f>YoY_Variance!H70</f>
        <v/>
      </c>
      <c r="F16" s="9" t="inlineStr"/>
    </row>
    <row r="17">
      <c r="A17" s="9" t="inlineStr">
        <is>
          <t>YoY</t>
        </is>
      </c>
      <c r="B17" s="9">
        <f>YoY_Variance!B85</f>
        <v/>
      </c>
      <c r="C17" s="9">
        <f>YoY_Variance!D85</f>
        <v/>
      </c>
      <c r="D17" s="10">
        <f>YoY_Variance!G85</f>
        <v/>
      </c>
      <c r="E17" s="11">
        <f>YoY_Variance!H85</f>
        <v/>
      </c>
      <c r="F17" s="9" t="inlineStr">
        <is>
          <t>Consistent with vendor cost inflation noted in Article 01 - dated and quantified here.</t>
        </is>
      </c>
    </row>
    <row r="18">
      <c r="A18" s="9" t="inlineStr">
        <is>
          <t>YoY</t>
        </is>
      </c>
      <c r="B18" s="9">
        <f>YoY_Variance!B86</f>
        <v/>
      </c>
      <c r="C18" s="9">
        <f>YoY_Variance!D86</f>
        <v/>
      </c>
      <c r="D18" s="10">
        <f>YoY_Variance!G86</f>
        <v/>
      </c>
      <c r="E18" s="11">
        <f>YoY_Variance!H86</f>
        <v/>
      </c>
      <c r="F18" s="9" t="inlineStr">
        <is>
          <t>Consistent with vendor cost inflation noted in Article 01 - dated and quantified here.</t>
        </is>
      </c>
    </row>
    <row r="19">
      <c r="A19" s="9" t="inlineStr">
        <is>
          <t>YoY</t>
        </is>
      </c>
      <c r="B19" s="9">
        <f>YoY_Variance!B105</f>
        <v/>
      </c>
      <c r="C19" s="9">
        <f>YoY_Variance!D105</f>
        <v/>
      </c>
      <c r="D19" s="10">
        <f>YoY_Variance!G105</f>
        <v/>
      </c>
      <c r="E19" s="11">
        <f>YoY_Variance!H105</f>
        <v/>
      </c>
      <c r="F19" s="9" t="inlineStr">
        <is>
          <t>One-month spike, not present in the prior year at all - real campaign or miscoded invoice?</t>
        </is>
      </c>
    </row>
    <row r="20">
      <c r="A20" s="9" t="inlineStr">
        <is>
          <t>MoM</t>
        </is>
      </c>
      <c r="B20" s="9">
        <f>MoM_Variance!B11</f>
        <v/>
      </c>
      <c r="C20" s="9">
        <f>MoM_Variance!D11&amp;"-&gt;"&amp;MoM_Variance!E11</f>
        <v/>
      </c>
      <c r="D20" s="10">
        <f>MoM_Variance!H11</f>
        <v/>
      </c>
      <c r="E20" s="11">
        <f>MoM_Variance!I11</f>
        <v/>
      </c>
      <c r="F20" s="9" t="inlineStr">
        <is>
          <t>Balloons in April 2026 specifically - invisible in a single month, obvious once diffed.</t>
        </is>
      </c>
    </row>
    <row r="21">
      <c r="A21" s="9" t="inlineStr">
        <is>
          <t>MoM</t>
        </is>
      </c>
      <c r="B21" s="9">
        <f>MoM_Variance!B53</f>
        <v/>
      </c>
      <c r="C21" s="9">
        <f>MoM_Variance!D53&amp;"-&gt;"&amp;MoM_Variance!E53</f>
        <v/>
      </c>
      <c r="D21" s="10">
        <f>MoM_Variance!H53</f>
        <v/>
      </c>
      <c r="E21" s="11">
        <f>MoM_Variance!I53</f>
        <v/>
      </c>
      <c r="F21" s="9" t="inlineStr"/>
    </row>
    <row r="22">
      <c r="A22" s="9" t="inlineStr">
        <is>
          <t>MoM</t>
        </is>
      </c>
      <c r="B22" s="9">
        <f>MoM_Variance!B64</f>
        <v/>
      </c>
      <c r="C22" s="9">
        <f>MoM_Variance!D64&amp;"-&gt;"&amp;MoM_Variance!E64</f>
        <v/>
      </c>
      <c r="D22" s="10">
        <f>MoM_Variance!H64</f>
        <v/>
      </c>
      <c r="E22" s="11">
        <f>MoM_Variance!I64</f>
        <v/>
      </c>
      <c r="F22" s="9" t="inlineStr"/>
    </row>
    <row r="23">
      <c r="A23" s="9" t="inlineStr">
        <is>
          <t>MoM</t>
        </is>
      </c>
      <c r="B23" s="9">
        <f>MoM_Variance!B79</f>
        <v/>
      </c>
      <c r="C23" s="9">
        <f>MoM_Variance!D79&amp;"-&gt;"&amp;MoM_Variance!E79</f>
        <v/>
      </c>
      <c r="D23" s="10">
        <f>MoM_Variance!H79</f>
        <v/>
      </c>
      <c r="E23" s="11">
        <f>MoM_Variance!I79</f>
        <v/>
      </c>
      <c r="F23" s="9" t="inlineStr">
        <is>
          <t>One-month spike, not present in the prior year at all - real campaign or miscoded invoice?</t>
        </is>
      </c>
    </row>
    <row r="24">
      <c r="A24" s="9" t="inlineStr">
        <is>
          <t>MoM</t>
        </is>
      </c>
      <c r="B24" s="9">
        <f>MoM_Variance!B80</f>
        <v/>
      </c>
      <c r="C24" s="9">
        <f>MoM_Variance!D80&amp;"-&gt;"&amp;MoM_Variance!E80</f>
        <v/>
      </c>
      <c r="D24" s="10">
        <f>MoM_Variance!H80</f>
        <v/>
      </c>
      <c r="E24" s="11">
        <f>MoM_Variance!I80</f>
        <v/>
      </c>
      <c r="F24" s="9" t="inlineStr">
        <is>
          <t>One-month spike, not present in the prior year at all - real campaign or miscoded invoice?</t>
        </is>
      </c>
    </row>
    <row r="25">
      <c r="A25" s="12" t="inlineStr">
        <is>
          <t>MoM</t>
        </is>
      </c>
      <c r="B25" s="12">
        <f>MoM_Variance!B87</f>
        <v/>
      </c>
      <c r="C25" s="12">
        <f>MoM_Variance!D87&amp;"-&gt;"&amp;MoM_Variance!E87</f>
        <v/>
      </c>
      <c r="D25" s="13">
        <f>MoM_Variance!H87</f>
        <v/>
      </c>
      <c r="E25" s="14">
        <f>MoM_Variance!I87</f>
        <v/>
      </c>
      <c r="F25" s="12" t="inlineStr">
        <is>
          <t>Recurring seasonal pattern - same February spike both years. Not a surprise; flagged here because MoM measures sequential movement, not because it's new.</t>
        </is>
      </c>
    </row>
    <row r="26">
      <c r="A26" s="12" t="inlineStr">
        <is>
          <t>MoM</t>
        </is>
      </c>
      <c r="B26" s="12">
        <f>MoM_Variance!B88</f>
        <v/>
      </c>
      <c r="C26" s="12">
        <f>MoM_Variance!D88&amp;"-&gt;"&amp;MoM_Variance!E88</f>
        <v/>
      </c>
      <c r="D26" s="13">
        <f>MoM_Variance!H88</f>
        <v/>
      </c>
      <c r="E26" s="14">
        <f>MoM_Variance!I88</f>
        <v/>
      </c>
      <c r="F26" s="12" t="inlineStr">
        <is>
          <t>Recurring seasonal pattern - same February spike both years. Not a surprise; flagged here because MoM measures sequential movement, not because it's new.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2026-07-08T17:23:00Z</dcterms:created>
  <dcterms:modified xmlns:dcterms="http://purl.org/dc/terms/" xmlns:xsi="http://www.w3.org/2001/XMLSchema-instance" xsi:type="dcterms:W3CDTF">2026-07-08T17:23:00Z</dcterms:modified>
</cp:coreProperties>
</file>